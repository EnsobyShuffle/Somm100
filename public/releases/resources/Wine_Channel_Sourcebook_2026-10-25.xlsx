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7ae0855d4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uTube50" sheetId="1" r:id="R054a2d0688c14647"/>
    <x:sheet xmlns:r="http://schemas.openxmlformats.org/officeDocument/2006/relationships" name="中国葡萄酒" sheetId="2" r:id="R3e847881fc1a493f"/>
    <x:sheet xmlns:r="http://schemas.openxmlformats.org/officeDocument/2006/relationships" name="规则与目录" sheetId="3" r:id="Rb3d2b1c840c944c9"/>
  </x:sheets>
</x:workbook>
</file>

<file path=xl/comments1.xml><?xml version="1.0" encoding="utf-8"?>
<x:comments xmlns:x="http://schemas.openxmlformats.org/spreadsheetml/2006/main">
  <x:authors>
    <x:author/>
  </x:authors>
  <x:commentList>
    <x:comment ref="C5" authorId="0">
      <x:text>
        <x:r>
          <x:t>公开证据：
https://www.youtube.com/c/GuildSomm
https://www.youtube.com/playlist?list=PLDFWTWdngwd8BvxfWjIUCCGRoZ-k11w-r
https://www.guildsomm.com/about_us/who-we-are/
核验截至：2026-10-25。仅身份与内容线索，不代表已完整观看。</x:t>
        </x:r>
      </x:text>
    </x:comment>
    <x:comment ref="C6" authorId="0">
      <x:text>
        <x:r>
          <x:t>公开证据：
https://www.youtube.com/@wset_school_london
https://www.wsetglobal.com/news-events/news/2022/february/07/wset-school-london-launches-youtube-channel-to-support-students
核验截至：2026-10-25。仅身份与内容线索，不代表已完整观看。</x:t>
        </x:r>
      </x:text>
    </x:comment>
    <x:comment ref="C7" authorId="0">
      <x:text>
        <x:r>
          <x:t>公开证据：
https://www.youtube.com/c/WineScholarGuild
https://linktr.ee/winescholarguild
核验截至：2026-10-25。仅身份与内容线索，不代表已完整观看。</x:t>
        </x:r>
      </x:text>
    </x:comment>
    <x:comment ref="C8" authorId="0">
      <x:text>
        <x:r>
          <x:t>公开证据：
https://www.youtube.com/c/TheAWRI
https://www.youtube.com/playlist?list=PL7Z5GkvVSSxwljy7YkKBHj4nbMK69dOp-
https://www.awri.com.au/industry_support/courses-seminars-workshops/webinars/
核验截至：2026-10-25。仅身份与内容线索，不代表已完整观看。</x:t>
        </x:r>
      </x:text>
    </x:comment>
    <x:comment ref="C9" authorId="0">
      <x:text>
        <x:r>
          <x:t>公开证据：
https://www.youtube.com/channel/UCWqOvit5S8HDuCRM0URZ51w
https://www.linkedin.com/posts/oivpressandcommunication_oiv-state-of-the-world-wine-sector-in-2025-activity-7459995914699509760-MJRT
核验截至：2026-10-25。仅身份与内容线索，不代表已完整观看。</x:t>
        </x:r>
      </x:text>
    </x:comment>
    <x:comment ref="C10" authorId="0">
      <x:text>
        <x:r>
          <x:t>公开证据：
https://rmi.ucdavis.edu/watch
https://rmi.ucdavis.edu/virtual-tour-videos
https://www.youtube.com/channel/UC6N-zceyByO8cUeL_ub59lA
核验截至：2026-10-25。仅身份与内容线索，不代表已完整观看。</x:t>
        </x:r>
      </x:text>
    </x:comment>
    <x:comment ref="C11" authorId="0">
      <x:text>
        <x:r>
          <x:t>公开证据：
https://www.youtube.com/@wine101xtheworldofwinefrom8
https://www.youtube.com/playlist?list=PLdFIKyb4r6lSYJdSV4I2TlWW7_tZMD7V_
核验截至：2026-10-25。仅身份与内容线索，不代表已完整观看。</x:t>
        </x:r>
      </x:text>
    </x:comment>
    <x:comment ref="C12" authorId="0">
      <x:text>
        <x:r>
          <x:t>公开证据：
https://www.youtube.com/channel/UC_1BFPCuoPPms9J81YtNbSg
https://www.youtube.com/@OregonViticultureExtension
https://www.youtube.com/playlist?list=PLDoL4rEIMngYKhATxwiKzZZgVcXu2QkeT
核验截至：2026-10-25。仅身份与内容线索，不代表已完整观看。</x:t>
        </x:r>
      </x:text>
    </x:comment>
    <x:comment ref="C13" authorId="0">
      <x:text>
        <x:r>
          <x:t>公开证据：
https://www.youtube.com/user/VignevinFrance
https://www.vignevin.com/
https://www.youtube.com/playlist?list=PL1dRoyJUp7dwH0PwrzmiHQdXku00iSrvx
核验截至：2026-10-25。仅身份与内容线索，不代表已完整观看。</x:t>
        </x:r>
      </x:text>
    </x:comment>
    <x:comment ref="C14" authorId="0">
      <x:text>
        <x:r>
          <x:t>公开证据：
https://www.youtube.com/channel/UCuo6oIkYVpVDPij2GlGlDvw
https://www.youtube.com/playlist?list=PLV6zu1i6NVI4eB6cXjM21EY2831mYKE7V
核验截至：2026-10-25。仅身份与内容线索，不代表已完整观看。</x:t>
        </x:r>
      </x:text>
    </x:comment>
    <x:comment ref="C15" authorId="0">
      <x:text>
        <x:r>
          <x:t>公开证据：
https://www.youtube.com/user/LinfieldArchives
https://digitalcommons.linfield.edu/owha_pines_interview/1/
https://oregonwinehistoryarchive.org/
核验截至：2026-10-25。仅身份与内容线索，不代表已完整观看。</x:t>
        </x:r>
      </x:text>
    </x:comment>
    <x:comment ref="C16" authorId="0">
      <x:text>
        <x:r>
          <x:t>公开证据：
https://www.youtube.com/channel/UCBJGS5jhKfQ_MmO2nv2xlNg
https://www.youtube.com/channel/UCBJGS5jhKfQ_MmO2nv2xlNg/videos
https://www.laciteduvin.com/en/cite-online
核验截至：2026-10-25。仅身份与内容线索，不代表已完整观看。</x:t>
        </x:r>
      </x:text>
    </x:comment>
    <x:comment ref="C17" authorId="0">
      <x:text>
        <x:r>
          <x:t>公开证据：
https://www.youtube.com/asisomms
https://www.asi.info/education/grids-tutorials/
核验截至：2026-10-25。仅身份与内容线索，不代表已完整观看。</x:t>
        </x:r>
      </x:text>
    </x:comment>
    <x:comment ref="C18" authorId="0">
      <x:text>
        <x:r>
          <x:t>公开证据：
https://www.youtube.com/channel/UCO_J3MbC2_x772upBPM-CvQ/about
https://www.youtube.com/watch?v=6lAsKFUUnf4
https://www.youtube.com/watch?v=-iRJG_Xwdpk
https://wine.wsu.edu/undergraduate-programs/
https://s3.wp.wsu.edu/uploads/sites/2009/2021/10/CAHNRS-Achievements-2021.pdf
核验截至：2026-10-25。仅身份与内容线索，不代表已完整观看。</x:t>
        </x:r>
      </x:text>
    </x:comment>
    <x:comment ref="C19" authorId="0">
      <x:text>
        <x:r>
          <x:t>公开证据：
https://www.youtube.com/channel/UCcvnoaYz9Ju_vliN1I4LODg
https://www.wineaustralia.com/
https://www.wineaustralia.com/getmedia/59eb0f06-18d6-485f-9a12-edf4a710d578/Lesson-one-seasons.pdf
核验截至：2026-10-25。仅身份与内容线索，不代表已完整观看。</x:t>
        </x:r>
      </x:text>
    </x:comment>
    <x:comment ref="C20" authorId="0">
      <x:text>
        <x:r>
          <x:t>公开证据：
https://www.youtube.com/c/NewZealandWine
https://www.nzwine.com/en/trade/learning/regional-videos/
核验截至：2026-10-25。仅身份与内容线索，不代表已完整观看。</x:t>
        </x:r>
      </x:text>
    </x:comment>
    <x:comment ref="C21" authorId="0">
      <x:text>
        <x:r>
          <x:t>公开证据：
https://www.youtube.com/c/WinesofSouthAfrica
https://wosa.co.za/Multimedia/Videos/Downloads/
核验截至：2026-10-25。仅身份与内容线索，不代表已完整观看。</x:t>
        </x:r>
      </x:text>
    </x:comment>
    <x:comment ref="C22" authorId="0">
      <x:text>
        <x:r>
          <x:t>公开证据：
https://www.youtube.com/c/VinsdeBourgogneBIVB
https://www.youtube.com/playlist?list=PLFeJ8hAKG36LwbsJtQ44AotuCxVlc9rqB
核验截至：2026-10-25。仅身份与内容线索，不代表已完整观看。</x:t>
        </x:r>
      </x:text>
    </x:comment>
    <x:comment ref="C23" authorId="0">
      <x:text>
        <x:r>
          <x:t>公开证据：
https://www.youtube.com/channel/UCRVSVTBAAY-DB2QxVHhWstg
https://www.youtube.com/playlist?list=PLq_53cXOU_nOlGD2joNpCBClzMxHoEeFU
核验截至：2026-10-25。仅身份与内容线索，不代表已完整观看。</x:t>
        </x:r>
      </x:text>
    </x:comment>
    <x:comment ref="C24" authorId="0">
      <x:text>
        <x:r>
          <x:t>公开证据：
https://www.youtube.com/user/WineBordeaux
https://www.youtube.com/playlist?list=PLA729D80F612C369B
核验截至：2026-10-25。仅身份与内容线索，不代表已完整观看。</x:t>
        </x:r>
      </x:text>
    </x:comment>
    <x:comment ref="C25" authorId="0">
      <x:text>
        <x:r>
          <x:t>公开证据：
https://www.youtube.com/user/interloire
https://www.youtube.com/playlist?list=PLkgx-vIS-7CGZrxvfDCyfOe0aH7Yb6atp
https://www.vinsdeloire.fr/sites/interloire/files/2025-01/press-release-harvest-2024-1.pdf
核验截至：2026-10-25。仅身份与内容线索，不代表已完整观看。</x:t>
        </x:r>
      </x:text>
    </x:comment>
    <x:comment ref="C26" authorId="0">
      <x:text>
        <x:r>
          <x:t>公开证据：
https://www.youtube.com/channel/UCrt9A7ZpSoM5qsVXSscEmcw
https://www.youtube.com/playlist?list=PLtnKtRulQTMLnTEb7WY3UjKkmmWga9AYi
核验截至：2026-10-25。仅身份与内容线索，不代表已完整观看。</x:t>
        </x:r>
      </x:text>
    </x:comment>
    <x:comment ref="C27" authorId="0">
      <x:text>
        <x:r>
          <x:t>公开证据：
https://www.youtube.com/@winesofportugal/videos
https://winesofportugal.com/pt/media/not%C3%ADcias/f%C3%B3rum-anual-dos-vinhos-de-portugal-2024-apresenta%C3%A7%C3%B5es/
核验截至：2026-10-25。仅身份与内容线索，不代表已完整观看。</x:t>
        </x:r>
      </x:text>
    </x:comment>
    <x:comment ref="C28" authorId="0">
      <x:text>
        <x:r>
          <x:t>公开证据：
https://www.youtube.com/NapaVintners
https://napavintners.com/napa_valley/science/soils-and-geology/
核验截至：2026-10-25。仅身份与内容线索，不代表已完整观看。</x:t>
        </x:r>
      </x:text>
    </x:comment>
    <x:comment ref="C29" authorId="0">
      <x:text>
        <x:r>
          <x:t>公开证据：
https://www.youtube.com/user/oesterreichwein
https://www.youtube.com/watch?v=vG7SxbhgD-A
核验截至：2026-10-25。仅身份与内容线索，不代表已完整观看。</x:t>
        </x:r>
      </x:text>
    </x:comment>
    <x:comment ref="C30" authorId="0">
      <x:text>
        <x:r>
          <x:t>公开证据：
https://www.youtube.com/user/winesofargentina
https://blog.winesofargentina.com/destacadas/argentina-3d-winemakers-sessions/
核验截至：2026-10-25。仅身份与内容线索，不代表已完整观看。</x:t>
        </x:r>
      </x:text>
    </x:comment>
    <x:comment ref="C31" authorId="0">
      <x:text>
        <x:r>
          <x:t>公开证据：
https://www.youtube.com/@winesofchile9875/videos
核验截至：2026-10-25。仅身份与内容线索，不代表已完整观看。</x:t>
        </x:r>
      </x:text>
    </x:comment>
    <x:comment ref="C32" authorId="0">
      <x:text>
        <x:r>
          <x:t>公开证据：
https://www.vins-rhone.com/en
https://www.youtube.com/@VinsRhone
https://www.youtube.com/playlist?list=PLiMzq45gjagwcBFiBOTY8cEn4VTqY-s8T
核验截至：2026-10-25。仅身份与内容线索，不代表已完整观看。</x:t>
        </x:r>
      </x:text>
    </x:comment>
    <x:comment ref="C33" authorId="0">
      <x:text>
        <x:r>
          <x:t>公开证据：
https://m.youtube.com/champagne/playlists
https://www.youtube.com/playlist?list=PLcubZP9dtaKHuiJeKYeMF26cHWlbd8UNS
https://www.champagne.fr/en/find-out-more/mediaroom/champagne-multimedia-library/educational-clips-champagne-production
核验截至：2026-10-25。仅身份与内容线索，不代表已完整观看。</x:t>
        </x:r>
      </x:text>
    </x:comment>
    <x:comment ref="C34" authorId="0">
      <x:text>
        <x:r>
          <x:t>公开证据：
https://www.youtube.com/user/vinosdejereztv
https://www.sherry.wine/
https://www.youtube.com/watch?v=v0HbOzAPfHw
核验截至：2026-10-25。仅身份与内容线索，不代表已完整观看。</x:t>
        </x:r>
      </x:text>
    </x:comment>
    <x:comment ref="C35" authorId="0">
      <x:text>
        <x:r>
          <x:t>公开证据：
https://www.youtube.com/user/deutscheweine
https://www.youtube.com/playlist?list=PLF5v7VIvLj4iN9ya_jEHSeI9Vc1IYOiyj
核验截至：2026-10-25。仅身份与内容线索，不代表已完整观看。</x:t>
        </x:r>
      </x:text>
    </x:comment>
    <x:comment ref="C36" authorId="0">
      <x:text>
        <x:r>
          <x:t>公开证据：
https://www.youtube.com/@Oregonwine
https://www.youtube.com/watch?v=D98-AZFHWac
https://www.oregonwine.org/oregon-wine-film/
https://trade.oregonwine.org/resources/mastering-oregon/
核验截至：2026-10-25。仅身份与内容线索，不代表已完整观看。</x:t>
        </x:r>
      </x:text>
    </x:comment>
    <x:comment ref="C37" authorId="0">
      <x:text>
        <x:r>
          <x:t>公开证据：
https://www.youtube.com/channel/UCzB6EwdqVfoxQeqrFHIK_2A
https://www.youtube.com/playlist?list=PLVy9U87SEcbAgezocxa_bAj7TsDyWHc_3
https://www.youtube.com/playlist?list=PLVy9U87SEcbA4PUj_2itIj28xqsffN5a1
https://www.youtube.com/playlist?list=PLVy9U87SEcbDLOIWBi0yivx3LBzCugRJt
核验截至：2026-10-25。仅身份与内容线索，不代表已完整观看。</x:t>
        </x:r>
      </x:text>
    </x:comment>
    <x:comment ref="C38" authorId="0">
      <x:text>
        <x:r>
          <x:t>公开证据：
https://www.youtube.com/sommtv
https://www.sommtv.com/
https://watch.sommtv.com/the-oldest-vine-collection/videos/the-oldest-vine-trailer
核验截至：2026-10-25。仅身份与内容线索，不代表已完整观看。</x:t>
        </x:r>
      </x:text>
    </x:comment>
    <x:comment ref="C39" authorId="0">
      <x:text>
        <x:r>
          <x:t>公开证据：
https://www.youtube.com/channel/UCl_tO1ltL9CrMMb94TUAxtQ
https://www.youtube.com/playlist?list=PLTLnoieUN1m2O1xD4QxEKG4jFt1vcAR1y
https://www.winemasters.tv/
核验截至：2026-10-25。仅身份与内容线索，不代表已完整观看。</x:t>
        </x:r>
      </x:text>
    </x:comment>
    <x:comment ref="C40" authorId="0">
      <x:text>
        <x:r>
          <x:t>公开证据：
https://www.youtube.com/user/RidgeVineyards
https://www.youtube.com/playlist?list=PL46K2XfnYcC-wI0oQ800K6jMM6KVh-Vxm
https://www.ridgewine.com/about/news/ridge-winemaking-video-series/
核验截至：2026-10-25。仅身份与内容线索，不代表已完整观看。</x:t>
        </x:r>
      </x:text>
    </x:comment>
    <x:comment ref="C41" authorId="0">
      <x:text>
        <x:r>
          <x:t>公开证据：
https://www.youtube.com/tablascreek
https://www.youtube.com/channel/UCSPXQp1vkpt6H8SySuEynTQ
核验截至：2026-10-25。仅身份与内容线索，不代表已完整观看。</x:t>
        </x:r>
      </x:text>
    </x:comment>
    <x:comment ref="C42" authorId="0">
      <x:text>
        <x:r>
          <x:t>公开证据：
https://www.youtube.com/channel/UCpZ04xeTCxVyOSRDi93GY9w
https://www.youtube.com/playlist?list=PLMuFGeslI2Mky0lp4EENFfTtjPTetB5kN
https://www.chateau-palmer.com/en
核验截至：2026-10-25。仅身份与内容线索，不代表已完整观看。</x:t>
        </x:r>
      </x:text>
    </x:comment>
    <x:comment ref="C43" authorId="0">
      <x:text>
        <x:r>
          <x:t>公开证据：
https://www.youtube.com/channel/UCQfv_AU-87Xgv3dgoncR3gQ
https://www.youtube.com/watch?v=8YPTOrSnLeQ
https://www.champagne-bollinger.com/en/news/bold-perspectives-rd2008-ep1/
核验截至：2026-10-25。仅身份与内容线索，不代表已完整观看。</x:t>
        </x:r>
      </x:text>
    </x:comment>
    <x:comment ref="C44" authorId="0">
      <x:text>
        <x:r>
          <x:t>公开证据：
https://www.youtube.com/user/louisroedererloeuvre
https://www.youtube.com/watch?v=VbRTvC3bHMo
https://www.louis-roederer.com/en/wine/choreography-between-man-and-nature
核验截至：2026-10-25。仅身份与内容线索，不代表已完整观看。</x:t>
        </x:r>
      </x:text>
    </x:comment>
    <x:comment ref="C45" authorId="0">
      <x:text>
        <x:r>
          <x:t>公开证据：
https://www.youtube.com/channel/UCokshNEkgL8-cJJlmcVLL-g
https://www.youtube.com/watch?v=SasyAtBWA1o
核验截至：2026-10-25。仅身份与内容线索，不代表已完整观看。</x:t>
        </x:r>
      </x:text>
    </x:comment>
    <x:comment ref="C46" authorId="0">
      <x:text>
        <x:r>
          <x:t>公开证据：
https://www.youtube.com/channel/UCHbyKC8sMFx430ayll2TQWg
https://www.youtube.com/c/symingtonfamilyestates
https://www.youtube.com/playlist?list=PLeMTacVFJO2foXA67dw4xjZYLFGrS3A7s
核验截至：2026-10-25。仅身份与内容线索，不代表已完整观看。</x:t>
        </x:r>
      </x:text>
    </x:comment>
    <x:comment ref="C47" authorId="0">
      <x:text>
        <x:r>
          <x:t>公开证据：
https://www.youtube.com/@maisonm.chapoutier3103
https://www.youtube.com/playlist?list=PLQEf0BTqypSAc7TH8l13qwmcCu8dR3PGo
核验截至：2026-10-25。仅身份与内容线索，不代表已完整观看。</x:t>
        </x:r>
      </x:text>
    </x:comment>
    <x:comment ref="C48" authorId="0">
      <x:text>
        <x:r>
          <x:t>公开证据：
https://www.youtube.com/@domainezind-humbrecht1594
https://www.youtube.com/watch?v=mdGJovByZ_I
核验截至：2026-10-25。仅身份与内容线索，不代表已完整观看。</x:t>
        </x:r>
      </x:text>
    </x:comment>
    <x:comment ref="C49" authorId="0">
      <x:text>
        <x:r>
          <x:t>公开证据：
https://www.youtube.com/channel/UC7F8SpxwgYPZQhEk_Mpqdjw
https://www.youtube.com/@chateaumargaux8850
https://www.youtube.com/watch?v=s33Awn2n4A4
核验截至：2026-10-25。仅身份与内容线索，不代表已完整观看。</x:t>
        </x:r>
      </x:text>
    </x:comment>
    <x:comment ref="C50" authorId="0">
      <x:text>
        <x:r>
          <x:t>公开证据：
https://www.youtube.com/user/ClarenceDillon
https://www.youtube.com/user/ClarenceDillon/videos
核验截至：2026-10-25。仅身份与内容线索，不代表已完整观看。</x:t>
        </x:r>
      </x:text>
    </x:comment>
    <x:comment ref="C51" authorId="0">
      <x:text>
        <x:r>
          <x:t>公开证据：
https://www.youtube.com/user/MarchesiAntinori
https://www.youtube.com/channel/UCEykkya-fBXJz5Vcn4th7zg
https://www.youtube.com/@MarchesiAntinori/videos
核验截至：2026-10-25。仅身份与内容线索，不代表已完整观看。</x:t>
        </x:r>
      </x:text>
    </x:comment>
    <x:comment ref="C52" authorId="0">
      <x:text>
        <x:r>
          <x:t>公开证据：
https://www.youtube.com/channel/UCs-s9ygHxibNoCED-SsvT7g
https://www.youtube.com/watch?v=rcTUWQovdCE
核验截至：2026-10-25。仅身份与内容线索，不代表已完整观看。</x:t>
        </x:r>
      </x:text>
    </x:comment>
    <x:comment ref="C53" authorId="0">
      <x:text>
        <x:r>
          <x:t>公开证据：
https://www.youtube.com/@jackson-family-wines
https://www.jacksonfamilywines.com/sustainability-badges
https://www.youtube.com/watch?v=vXp9lcE3IBE
核验截至：2026-10-25。仅身份与内容线索，不代表已完整观看。</x:t>
        </x:r>
      </x:text>
    </x:comment>
    <x:comment ref="C54" authorId="0">
      <x:text>
        <x:r>
          <x:t>公开证据：
https://www.youtube.com/c/Silveroak
https://www.youtube.com/user/silveroakcellars/videos
https://www.youtube.com/watch?v=sun2icCZXVQ
核验截至：2026-10-25。仅身份与内容线索，不代表已完整观看。</x:t>
        </x:r>
      </x:text>
    </x:comment>
    <x:comment ref="C55" authorId="0">
      <x:text>
        <x:r>
          <x:t>核对日期：2026-10-25
新增编号：51
样片入口类型：YouTube 单片；官网系列文章直接链接
核验与限制：官网明确描述六集内容，并直接链接本集。YouTube 抓取受限，未逐帧观看；英文系列信息来自发布方。
一手来源与核验入口：
https://www.youtube.com/user/brunello1888/videos
https://www.youtube.com/watch?v=-S32_Vgnr1E
https://www.consorziobrunellodimontalcino.it/news/?lang=it&amp;p=19089
按具体视频审核；条目纳入不代表已完成整片观看、字幕、下载或发布。</x:t>
        </x:r>
      </x:text>
    </x:comment>
    <x:comment ref="C56" authorId="0">
      <x:text>
        <x:r>
          <x:t>核对日期：2026-10-25
新增编号：52
样片入口类型：YouTube 单片；官网嵌入
核验与限制：账号由搜索索引确认；代表视频 ID 来自官方英文首页嵌入。标题是官网影片入口的上下文名称，未核对 YouTube 播放页标题与片长。
一手来源与核验入口：
https://www.youtube.com/user/vinochianticlassico
https://www.youtube.com/watch?v=w-vkSbgwxgM
https://www.chianticlassico.com/en/
https://www.youtube.com/embed/w-vkSbgwxgM?feature=oembed
按具体视频审核；条目纳入不代表已完成整片观看、字幕、下载或发布。</x:t>
        </x:r>
      </x:text>
    </x:comment>
    <x:comment ref="C57" authorId="0">
      <x:text>
        <x:r>
          <x:t>核对日期：2026-10-25
新增编号：53
样片入口类型：YouTube 单片；官网嵌入
核验与限制：官方文章介绍系列及第一集，含账号链接和本片嵌入；公开资料能确认制作主题，未实播抽查全部系列。
一手来源与核验入口：
https://www.youtube.com/user/InFranciacorta
https://www.youtube.com/watch?v=oQW6xVYwoUQ
https://franciacorta.wine/en/magazine/news/wine-actually-the-first-episode-is-online/
按具体视频审核；条目纳入不代表已完成整片观看、字幕、下载或发布。</x:t>
        </x:r>
      </x:text>
    </x:comment>
    <x:comment ref="C58" authorId="0">
      <x:text>
        <x:r>
          <x:t>核对日期：2026-10-25
新增编号：54
样片入口类型：YouTube 系列播放列表
核验与限制：官方系列页列出生产者和拍摄主题；YouTube 账号及系列列表有公开索引。未把另一制作公司 F-Tech 的上传另算一个来源，也未逐帧检查。
一手来源与核验入口：
https://www.youtube.com/channel/UCnni21SlvsXEWE4_R0Q1p5g
https://www.youtube.com/playlist?list=PLzt7FxL1dzPwZztl6aO0T37dz81NCNrxE
https://m.youtube.com/playlist?list=PLzt7FxL1dzPwZztl6aO0T37dz81NCNrxE
https://www.altoadigewines.com/en/winegrowers/pioniere
https://www.altoadigewines.com/en/news/pioneers-of-alto-adige-wine
按具体视频审核；条目纳入不代表已完成整片观看、字幕、下载或发布。</x:t>
        </x:r>
      </x:text>
    </x:comment>
    <x:comment ref="C59" authorId="0">
      <x:text>
        <x:r>
          <x:t>核对日期：2026-10-25
新增编号：55
样片入口类型：官方系列介绍页；另附 YouTube 预告片
核验与限制：账号索引自称 Consorzio Tutela Vino Soave 官方频道；发布方描述了六个月拍摄及 34 位生产者。已定位 YouTube 的 Soave Terroir - il trailer；各集完整 watch URL 尚未逐一抽取。
一手来源与核验入口：
https://www.youtube.com/user/ilSoave
https://www.ilsoave.com/en/news-it/soave-terroir-the-videos/
https://www.ilsoave.com/news-it/soave-terroir-i-video/
https://www.youtube.com/watch?v=Vv3IMUEOLDs
按具体视频审核；条目纳入不代表已完成整片观看、字幕、下载或发布。</x:t>
        </x:r>
      </x:text>
    </x:comment>
    <x:comment ref="C60" authorId="0">
      <x:text>
        <x:r>
          <x:t>核对日期：2026-10-25
新增编号：56
样片入口类型：YouTube 单片
核验与限制：视频搜索结果明确列出上传者 Wines of Greece；账号和相关系列均有索引。历史视频较早，涉及当前法规或产业统计时另行更新；未完成播放检查。
一手来源与核验入口：
https://www.youtube.com/user/newwinesofgreece
https://www.youtube.com/watch?v=uXxRS54SQn8
https://www.youtube.com/playlist?list=PLc6l0tub_aM5dWAOMhbBMGbNvi2BXFtWX
https://winesofgreece.org/winepediaen/history/
按具体视频审核；条目纳入不代表已完成整片观看、字幕、下载或发布。</x:t>
        </x:r>
      </x:text>
    </x:comment>
    <x:comment ref="C61" authorId="0">
      <x:text>
        <x:r>
          <x:t>核对日期：2026-10-25
新增编号：57
样片入口类型：YouTube 圆桌录像；官网直接链接
核验与限制：发布方网页明确介绍该圆桌并链接到视频。内容类型是录制圆桌，不能称为葡萄园实景纪录片；其商业与市场讨论需剪选。
一手来源与核验入口：
https://www.youtube.com/winesofprovence
https://www.youtube.com/watch?v=vr_JCbENpvc
https://www.vinsdeprovence.com/en/actualites/vins-de-provence-wine-enthusiast
https://www.youtube.com/user/vinsdeprovence
按具体视频审核；条目纳入不代表已完成整片观看、字幕、下载或发布。</x:t>
        </x:r>
      </x:text>
    </x:comment>
    <x:comment ref="C62" authorId="0">
      <x:text>
        <x:r>
          <x:t>核对日期：2026-10-25
新增编号：58
样片入口类型：官方主题影片／系列页面
核验与限制：官网直接链接 YouTube 账号；官方土壤专题与频道索引中的 Régnié、Côte de Brouilly 同系列影片相互印证。官网嵌入的替代文字有不一致，故代表链接保留专题页，不把未经核对的嵌入 ID 冒充正片。
一手来源与核验入口：
https://www.youtube.com/user/VinsduBeaujolais
https://www.beaujolais.com/en/a-world-for-every-beaujolais/pur-terroir-by-beaujolais/the-beaujolais-vineyard-a-mosaic-of-soils/
https://www.beaujolais.com/en/
https://m.youtube.com/@VinsduBeaujolais/videos?shelf_id=1&amp;sort=dd&amp;view=0
按具体视频审核；条目纳入不代表已完成整片观看、字幕、下载或发布。</x:t>
        </x:r>
      </x:text>
    </x:comment>
    <x:comment ref="C63" authorId="0">
      <x:text>
        <x:r>
          <x:t>核对日期：2026-10-25
新增编号：59
样片入口类型：YouTube 会议／技术讲座播放列表
核验与限制：YouTube 频道说明标明 CIVL 官方；播放列表索引显示具体讲座标题和上传者。属于 2018 年会议录像，并非产区纪录片；技术结论和法规需结合年份复核。
一手来源与核验入口：
https://www.youtube.com/@vinsdulanguedoc/playlists
https://www.youtube.com/playlist?list=PLQnHnBk4yUk8E8nKGqt3nDvlcGMvgU5ws
https://m.youtube.com/playlist?list=PLQnHnBk4yUk8E8nKGqt3nDvlcGMvgU5ws
按具体视频审核；条目纳入不代表已完成整片观看、字幕、下载或发布。</x:t>
        </x:r>
      </x:text>
    </x:comment>
    <x:comment ref="C64" authorId="0">
      <x:text>
        <x:r>
          <x:t>核对日期：2026-10-25
新增编号：60
样片入口类型：YouTube 单片；官方专题说明
核验与限制：官网直接链接账号；本集官方说明列出 Agustín Lago、Pablo Estévez、Jorge Hervella、Carla González Chao 等技术或酿酒人员与讨论内容。公开索引确认具体视频，未全片实播。
一手来源与核验入口：
https://www.youtube.com/user/VinosDORiasBaixas
https://www.youtube.com/watch?v=tL1pHHMO2sI
https://doriasbaixas.com/
https://doriasbaixas.com/historias-con-denominacion-de-origen-enologia/
按具体视频审核；条目纳入不代表已完成整片观看、字幕、下载或发布。</x:t>
        </x:r>
      </x:text>
    </x:comment>
    <x:comment ref="C65" authorId="0">
      <x:text>
        <x:r>
          <x:t>核对日期：2026-10-25
新增编号：61
样片入口类型：YouTube 访谈系列播放列表
核验与限制：频道和系列均有 YouTube 索引，产区官方新闻解释该酒庄访谈计划。可确认是访谈系列，未核验每集是否有足够实景或技术内容。
一手来源与核验入口：
https://www.youtube.com/c/RiberadelDuero
https://www.youtube.com/playlist?list=PLUbcAzE2-gx5CdNlEQ5lcjQwxdr-9cK58
https://www.riberadelduero.es/comunicacion-y-marca/nota-de-prensa/ribera-del-duero-da-conocer-todas-sus-bodegas-traves-de-la
按具体视频审核；条目纳入不代表已完成整片观看、字幕、下载或发布。</x:t>
        </x:r>
      </x:text>
    </x:comment>
    <x:comment ref="C66" authorId="0">
      <x:text>
        <x:r>
          <x:t>核对日期：2026-10-25
新增编号：62
样片入口类型：YouTube 酒庄／葡萄园系列播放列表
核验与限制：频道与播放列表索引标明同一上传者，并列出生产主题。未将 GuildSomm 制作的 BC 纪录片另算为本账号作品；每集仍须播放筛选。
一手来源与核验入口：
https://www.youtube.com/c/WinesofBritishColumbia
https://www.youtube.com/playlist?list=PLdyOOu2Hkvu-8uaGfTNLpnd0QO1H6ebZK
https://www.youtube.com/playlist?list=PLdyOOu2Hkvu9zqDvo9-eBovnz8T3oAfDR
https://winebc.com/industry/resources/webinar/
按具体视频审核；条目纳入不代表已完成整片观看、字幕、下载或发布。</x:t>
        </x:r>
      </x:text>
    </x:comment>
    <x:comment ref="C67" authorId="0">
      <x:text>
        <x:r>
          <x:t>核对日期：2026-10-25
新增编号：63
样片入口类型：YouTube 单片
核验与限制：具体视频标题和官方 Talha 项目页可互证主题；页面解释传统工艺及历史。未确认全片字幕、分辨率和下载状态。
一手来源与核验入口：
https://www.youtube.com/user/VinhosdoAlentejo
https://www.youtube.com/watch?v=yX00vKbJzMI
https://vinhodetalha.vinhosdoalentejo.pt/en/
按具体视频审核；条目纳入不代表已完成整片观看、字幕、下载或发布。</x:t>
        </x:r>
      </x:text>
    </x:comment>
    <x:comment ref="C68" authorId="0">
      <x:text>
        <x:r>
          <x:t>核对日期：2026-10-25
新增编号：64
样片入口类型：YouTube 课程单片
核验与限制：频道说明为瑞士葡萄酒全国推广组织；视频索引显示 Swiss Wine Promotion 上传者及区域、品种等课程说明。属于知识课，不声称其为实景纪录片。
一手来源与核验入口：
https://www.youtube.com/channel/UCnQ7Dy-yq9uhYjllq63ZHmw
https://www.youtube.com/watch?v=KT60yKApUuE
按具体视频审核；条目纳入不代表已完成整片观看、字幕、下载或发布。</x:t>
        </x:r>
      </x:text>
    </x:comment>
    <x:comment ref="C69" authorId="0">
      <x:text>
        <x:r>
          <x:t>核对日期：2026-10-25
新增编号：65
样片入口类型：官方视频页面（含指定课程）；频道索引确认同名上传
核验与限制：YouTube 频道索引明确列出同名课程；官网视频页公开频道 ID UCDxqksfZbsfLCBcr3kQ2HBw，官网首页列出该课，发布方 LinkedIn 视频帖解释授课人和具体主题。尚未抽取该课独立 watch URL，因此保留官方视频入口。
一手来源与核验入口：
https://www.youtube.com/@grandespagosdeespana4422/videos
https://grandespagos.com/en/home-en/
https://grandespagos.com/en/video/
https://es.linkedin.com/posts/grandes-pagos-de-espa%C3%B1a_grandespagos-aaltowinery-riberadelduero-activity-7497578652084121600-ilF2
按具体视频审核；条目纳入不代表已完成整片观看、字幕、下载或发布。</x:t>
        </x:r>
      </x:text>
    </x:comment>
    <x:comment ref="C70" authorId="0">
      <x:text>
        <x:r>
          <x:t>核对日期：2026-10-25
新增编号：66
样片入口类型：官方系列入口
核验与限制：官方文章逐集说明八集内容并直接链接频道；YouTube公开索引核验该系列与第1集。官网播放页也使用Vimeo，表中保留官网系列入口，实际获取时选择对应YouTube发布，未全片观看。
一手来源与核验入口：
https://www.youtube.com/@LodiWine
https://www.lodiwine.com/videos/
https://lodigrowers.com/a-rising-tide-lifts-all-boats-the-lodi-grower-motto/
https://www.youtube.com/c/LodiWine/videos
按具体视频审核；条目纳入不代表已完成整片观看、字幕、下载或发布。</x:t>
        </x:r>
      </x:text>
    </x:comment>
    <x:comment ref="C71" authorId="0">
      <x:text>
        <x:r>
          <x:t>核对日期：2026-10-25
新增编号：67
样片入口类型：单条视频
核验与限制：官网直接链接 YouTube 频道并嵌入 Bourgogne 正片；官方两页标注72/73分钟，故不写精确片长。未整片观看。
一手来源与核验入口：
https://www.youtube.com/@visforvino
https://www.youtube.com/watch?v=mK7R8hNxY_0
https://visforvino.com/episodes/
https://visforvino.com/bourgogne/
按具体视频审核；条目纳入不代表已完成整片观看、字幕、下载或发布。</x:t>
        </x:r>
      </x:text>
    </x:comment>
    <x:comment ref="C72" authorId="0">
      <x:text>
        <x:r>
          <x:t>核对日期：2026-10-25
新增编号：68
样片入口类型：单条视频
核验与限制：频道公开索引确认问答/工艺系列；World Chardonnay Day官方档案直接给出分选和采收视频链接，未验证播放器及全片。
一手来源与核验入口：
https://www.youtube.com/channel/UCGOOlETKfCnu0AV5fLhNXVA
https://www.youtube.com/watch?v=uG6uyj2cxwA
https://www.youtube.com/channel/UCGOOlETKfCnu0AV5fLhNXVA/videos
https://www.youtube.com/user/askawinemaker
https://worldchardonnayday.org/2022-archive-1
按具体视频审核；条目纳入不代表已完成整片观看、字幕、下载或发布。</x:t>
        </x:r>
      </x:text>
    </x:comment>
    <x:comment ref="C73" authorId="0">
      <x:text>
        <x:r>
          <x:t>核对日期：2026-10-25
新增编号：69
样片入口类型：youtube_embed_from_official_producer_page
核验与限制：Official channel identity and official description of vineyard films/grower interviews verified. Exact embed observed on producer's Farming page. Representative title is the publisher page label, not claimed as exact YouTube upload title. No full-playback review.
一手来源与核验入口：
https://www.youtube.com/channel/UCXDyvmavnTYZMiLJ8pSJOVw
https://www.youtube.com/watch?v=St8VdhzQ6eE
https://bedrockwineco.com/the-study/youtube/
https://www.bedrockwineco.com/bedrock-heritage/farming/
https://www.youtube.com/embed/St8VdhzQ6eE?si=KGPtV0cBzp2Ce3Qt
按具体视频审核；条目纳入不代表已完成整片观看、字幕、下载或发布。</x:t>
        </x:r>
      </x:text>
    </x:comment>
    <x:comment ref="C74" authorId="0">
      <x:text>
        <x:r>
          <x:t>核对日期：2026-10-25
新增编号：70
样片入口类型：youtube_playlist
核验与限制：Official channel and exact indexed playlist verified. Producer website separately categorizes Viticultura and Catas. The viticulture playlist is selected; tasting uploads are not approved as a whole.
一手来源与核验入口：
https://www.youtube.com/BODEGASRODA
https://www.youtube.com/playlist?list=PLh5pK_oiBQdtULxYDqodYNYALHS9OG67h
https://roda.es/es/experiencias/experiencias-virtuales/
按具体视频审核；条目纳入不代表已完成整片观看、字幕、下载或发布。</x:t>
        </x:r>
      </x:text>
    </x:comment>
    <x:comment ref="C75" authorId="0">
      <x:text>
        <x:r>
          <x:t>核对日期：2026-10-25
新增编号：71
样片入口类型：youtube_playlist
核验与限制：Official channel identity and indexed Elaboración playlist verified, including Tonelería y cubería and stave preparation. Primary website also documents its TV cooperage coverage. Some uploads originate with broadcasters; do not assume the winery owns all footage.
一手来源与核验入口：
https://www.youtube.com/user/bodegasmuga
https://www.youtube.com/playlist?list=PL9X28RD5xyrND-tjrnJ2q_xH6y_lzVJbv
https://www.youtube.com/user/bodegasmuga/videos
https://www.bodegasmuga.com/toneleria-aqui-la-tierra-tve1/
按具体视频审核；条目纳入不代表已完成整片观看、字幕、下载或发布。</x:t>
        </x:r>
      </x:text>
    </x:comment>
    <x:comment ref="C76" authorId="0">
      <x:text>
        <x:r>
          <x:t>核对日期：2026-10-25
新增编号：72
样片入口类型：youtube_video
核验与限制：Exact primary video title/URL and official channel verified. English playlist independently lists the film (7:19) under Familia Torres. This is separate from the third-party sommelier podcast also surfaced in search.
一手来源与核验入口：
https://www.youtube.com/c/FamiliaTorres/videos
https://www.youtube.com/watch?v=xsiLyiNqR9I
https://www.youtube.com/playlist?list=PLA0CBCEFE6CAE3BA5
https://www.torres.es/en/blog/ancestral-varieties
按具体视频审核；条目纳入不代表已完成整片观看、字幕、下载或发布。</x:t>
        </x:r>
      </x:text>
    </x:comment>
    <x:comment ref="C77" authorId="0">
      <x:text>
        <x:r>
          <x:t>核对日期：2026-10-25
新增编号：73
样片入口类型：youtube_embed_from_industry_partner_page
核验与限制：Channel verified. Exact YouTube embed observed on winery-industry partner's page, which explicitly describes Shaun Gibson explaining barrel rising, fire-bending and toasting. Indexed playlist confirms matching title. Yalumba's current own cooperage page embeds a different Vimeo film; do not confuse the two. Direct YouTube uploader retrieval was throttled.
一手来源与核验入口：
https://www.youtube.com/channel/UCZUPZE254oewTeVCIAql6FQ/videos
https://www.youtube.com/watch?v=VbqCHm7P4Yg
https://www.youtube.com/embed/VbqCHm7P4Yg
https://www.ultimatewineryexperiences.com.au/latest-news/242/discover-the-yalumba-cooperage/
https://www.yalumba.com/the-cooperage/
https://m.youtube.com/playlist?list=PL3DWZdO4jqw2pixgNuY45WV1-yh1_2AOX
按具体视频审核；条目纳入不代表已完成整片观看、字幕、下载或发布。</x:t>
        </x:r>
      </x:text>
    </x:comment>
    <x:comment ref="C78" authorId="0">
      <x:text>
        <x:r>
          <x:t>核对日期：2026-10-25
新增编号：74
样片入口类型：youtube_video
核验与限制：Primary channel index exposes a Winemaking section. Exact primary video metadata identifies uploader as Jordan Vineyard &amp; Winery. House-produced history film, not an independent documentary or wholesale approval of the channel.
一手来源与核验入口：
https://www.youtube.com/channel/UCZoGIbKkr05Z_13pLxmMlhA
https://www.youtube.com/watch?v=EZdhyxg45xE
按具体视频审核；条目纳入不代表已完成整片观看、字幕、下载或发布。</x:t>
        </x:r>
      </x:text>
    </x:comment>
    <x:comment ref="C79" authorId="0">
      <x:text>
        <x:r>
          <x:t>核对日期：2026-10-25
新增编号：75
样片入口类型：youtube_video
核验与限制：Exact video metadata identifies Donnafugata Wine as uploader and describes on-island heroic viticulture/alberello pantesco. Official pages confirm estate geography and its production of visual estate films. Branded source, not an independent review.
一手来源与核验入口：
https://www.youtube.com/channel/UCRISCf_lcuJ_AfRn_ICE5Bw
https://www.youtube.com/watch?v=dIkx95fFLzU
https://visit.donnafugata.it/en/wineries/pantelleria/
https://www.donnafugata.it/en/press/archive/inspiring-sicily/
按具体视频审核；条目纳入不代表已完成整片观看、字幕、下载或发布。</x:t>
        </x:r>
      </x:text>
    </x:comment>
    <x:comment ref="C80" authorId="0">
      <x:text>
        <x:r>
          <x:t>核对日期：2026-10-25
新增编号：76
样片入口类型：youtube_embed_from_official_producer_page
核验与限制：Official channel verified. Exact YouTube embed and film label observed on official 2019-release page. This page discusses the growing season and Prue's vineyard work, but film is a producer release presentation and full playback was not reviewed. Recent Henschke Vimeo materials were not counted as YouTube films.
一手来源与核验入口：
https://www.youtube.com/channel/UCdb9kModiWHSZ987OpJM1cg
https://www.youtube.com/watch?v=pMx1oVJqIb8
https://www.youtube.com/embed/pMx1oVJqIb8?si=6bMAVQYNY8LqDQtQ
https://www.henschke.com.au/blogs/news/henschke-2019-single-vineyard-release
https://www.youtube.com/playlist?list=PLE2tMbPvvejcpGAAgcZ-r_RE3QHga6TBf
按具体视频审核；条目纳入不代表已完成整片观看、字幕、下载或发布。</x:t>
        </x:r>
      </x:text>
    </x:comment>
    <x:comment ref="C81" authorId="0">
      <x:text>
        <x:r>
          <x:t>核对日期：2026-10-25
新增编号：77
样片入口类型：youtube_embed_from_official_producer_page
核验与限制：Exact embed and title observed in official gallery; same title appears in the estate's own channel index. Official tasting-room page describes its film about grape-growing and winemaking. Small catalogue, branded estate overview rather than a general teaching archive.
一手来源与核验入口：
https://www.youtube.com/channel/UCptqJ5U1XkWcIFixEJB20Ag
https://www.youtube.com/watch?v=dGXOKP7fu5U
https://www.youtube.com/channel/UCptqJ5U1XkWcIFixEJB20Ag/videos
https://kanonkop.co.za/gallery/videos/
https://www.youtube.com/embed/dGXOKP7fu5U?feature=oembed
https://kanonkop.co.za/visit-us/tasting-room/
按具体视频审核；条目纳入不代表已完成整片观看、字幕、下载或发布。</x:t>
        </x:r>
      </x:text>
    </x:comment>
    <x:comment ref="C82" authorId="0">
      <x:text>
        <x:r>
          <x:t>核对日期：2026-10-25
新增编号：78
样片入口类型：youtube_playlist
核验与限制：Exact named playlist appears on the primary Nyetimber channel; indexed four-video series. Primary channel independently lists 2021 vineyard-technical-officer interview. Website versions of 2021 interviews are Vimeo; only the separately verified YouTube catalogue is counted. Series is producer promotional/editorial material, not neutral academic instruction.
一手来源与核验入口：
https://www.youtube.com/nyetimberltd
https://www.youtube.com/playlist?list=PLI_KNTtHdHOMoIXtym-IS0sDbgcGLPPxk
https://www.youtube.com/c/Nyetimber/playlists
https://www.youtube.com/channel/UCCKRjTLEzi2lzvBE3MI_KOA/videos
https://nyetimber.com/harvest-2021-videos/
按具体视频审核；条目纳入不代表已完成整片观看、字幕、下载或发布。</x:t>
        </x:r>
      </x:text>
    </x:comment>
    <x:comment ref="C83" authorId="0">
      <x:text>
        <x:r>
          <x:t>核对日期：2026-10-25
新增编号：79
样片入口类型：youtube_embed_from_official_producer_page
核验与限制：Official channel verified; official media centre directly links the exact YouTube harvest embed with a descriptive title. Vineyard-year and disgorging titles also occur on the primary channel index. Selected sample is a short branded harvest film, not a full technical course.
一手来源与核验入口：
https://www.youtube.com/user/RathfinnyEstate
https://www.youtube.com/watch?v=QFexx70rIoo
https://www.youtube.com/%40RathfinnyEstate/videos
https://rathfinnyestate.com/media-centre/videos/
https://www.youtube.com/embed/QFexx70rIoo?autoplay=1&amp;byline=1&amp;mute=1%3Floop%3D1
https://rathfinnyestate.com/about/news/a-year-in-the-winery/
按具体视频审核；条目纳入不代表已完成整片观看、字幕、下载或发布。</x:t>
        </x:r>
      </x:text>
    </x:comment>
    <x:comment ref="C84" authorId="0">
      <x:text>
        <x:r>
          <x:t>核对日期：2026-10-25
新增编号：80
样片入口类型：youtube_playlist
核验与限制：Primary producer channel and exact Harvest/Reportages playlists verified. Indexed clips explicitly identify Quinta do Crasto as uploader, including old harvest footage and a seven-minute Porto Canal harvest report. Some original production belongs to a broadcaster.
一手来源与核验入口：
https://www.youtube.com/quintadocrasto
https://www.youtube.com/playlist?list=PLJokm-G0895sg_4eveQvR9Y9lXA-EZJ06
https://www.youtube.com/playlist?list=PLJokm-G0895s9wSJys1kAeBEJCe8dillV
按具体视频审核；条目纳入不代表已完成整片观看、字幕、下载或发布。</x:t>
        </x:r>
      </x:text>
    </x:comment>
    <x:comment ref="C85" authorId="0">
      <x:text>
        <x:r>
          <x:t>核对日期：2026-10-25
新增编号：81
样片入口类型：youtube_video
核验与限制：Primary channel explicitly describes itself as official Pontet-Canet videos. Exact primary video title, URL and uploader verified; channel lists duration 3:49. Branded vintage short film, limited supplementary use; full playback and detailed visual scene sequence were not audited.
一手来源与核验入口：
https://www.youtube.com/channel/UCgUbS-97y3Eq93fiNjyP4UQ
https://www.youtube.com/watch?v=UgiX2WJOWcE
https://www.pontet-canet.com/
按具体视频审核；条目纳入不代表已完成整片观看、字幕、下载或发布。</x:t>
        </x:r>
      </x:text>
    </x:comment>
    <x:comment ref="C86" authorId="0">
      <x:text>
        <x:r>
          <x:t>核对日期：2026-10-25
新增编号：82
样片入口类型：单条视频
核验与限制：官网直接链接该视频并标明讲者 Jennifer Kelly 与题目；频道和 CCOVI 播放列表经公开索引核验。未逐帧播放或核验字幕、下载与再发布权限。
一手来源与核验入口：
https://www.youtube.com/@BrockUniversity
https://www.youtube.com/watch?v=Wad0sB5dohM
https://brocku.ca/ccovi/outreach/lecture/
https://www.youtube.com/playlist?list=PL25E4A683EA8319C5
https://www.youtube.com/@BrockUniversity/videos
按具体视频审核；条目纳入不代表已完成整片观看、字幕、下载或发布。</x:t>
        </x:r>
      </x:text>
    </x:comment>
    <x:comment ref="C87" authorId="0">
      <x:text>
        <x:r>
          <x:t>核对日期：2026-10-25
新增编号：83
样片入口类型：单条视频
核验与限制：官网列出具体访谈名称并嵌入该 YouTube ID；频道身份经 YouTube 公开索引核验。播放器抓取限流，未全片观看或核验字幕、下载与再发布权限。
一手来源与核验入口：
https://www.youtube.com/@internationalviticulturenology
https://www.youtube.com/watch?v=1k9yoSiJl5g
https://ives-openscience.eu/
按具体视频审核；条目纳入不代表已完成整片观看、字幕、下载或发布。</x:t>
        </x:r>
      </x:text>
    </x:comment>
    <x:comment ref="C88" authorId="0">
      <x:text>
        <x:r>
          <x:t>核对日期：2026-10-25
新增编号：84
样片入口类型：单条视频
核验与限制：官方 WAVE 档案直接链接烟熏报告的 YouTube 视频，并列出多届研究录影；频道视频索引明确显示 WAVEx。未全片观看，单条播放器抓取限流。
一手来源与核验入口：
https://www.youtube.com/@washingtonwine
https://www.youtube.com/watch?v=0IZM9YdDdnM
https://www.washingtonwine.org/wave/
https://www.youtube.com/@washingtonwine/videos
https://www.washingtonwine.org/research/wavex-webinar-vineyard-soil-health/
按具体视频审核；条目纳入不代表已完成整片观看、字幕、下载或发布。</x:t>
        </x:r>
      </x:text>
    </x:comment>
    <x:comment ref="C89" authorId="0">
      <x:text>
        <x:r>
          <x:t>核对日期：2026-10-25
新增编号：85
样片入口类型：专题播放列表
核验与限制：频道和 webinar 列表经公开索引核验，检索结果显示覆盖作物报告为 28:36；机构官网确认与 New Zealand Winegrowers 的关系。未全片观看。
一手来源与核验入口：
https://www.youtube.com/@bragatoresearch
https://www.youtube.com/playlist?list=PLhV0m91zKn12DDYjDeFMbHyjdLA10V2Hi
https://bri.co.nz/research/our-research/?page=2
https://bri.co.nz/research/
按具体视频审核；条目纳入不代表已完成整片观看、字幕、下载或发布。</x:t>
        </x:r>
      </x:text>
    </x:comment>
    <x:comment ref="C90" authorId="0">
      <x:text>
        <x:r>
          <x:t>核对日期：2026-10-25
新增编号：86
样片入口类型：专题播放列表
核验与限制：频道、专门的 Northern Grapes 播放列表及列表内的葡萄研究报告题名经 YouTube 公开索引核验；未逐条播放。
一手来源与核验入口：
https://www.youtube.com/c/CornellCooperativeExtension
https://www.youtube.com/playlist?list=PLBTN_VCK49Blg-8DXD8juUDCjDiptvp9I
https://www.youtube.com/c/CornellCooperativeExtension/playlists
按具体视频审核；条目纳入不代表已完成整片观看、字幕、下载或发布。</x:t>
        </x:r>
      </x:text>
    </x:comment>
    <x:comment ref="C91" authorId="0">
      <x:text>
        <x:r>
          <x:t>核对日期：2026-10-25
新增编号：87
样片入口类型：专题播放列表
核验与限制：YouTube 公开索引确认频道与专题列表，列出 What is Brettanomyces?，3:07。它是短教学片而非长纪录片；未全片观看。
一手来源与核验入口：
https://www.youtube.com/c/PennStateExtension
https://www.youtube.com/playlist?list=PL_bTWa1uOqMGFee36qNNHsHjrpvBemx5A
https://extension.psu.edu/food-safety-and-quality/grape-and-wine-production/
按具体视频审核；条目纳入不代表已完成整片观看、字幕、下载或发布。</x:t>
        </x:r>
      </x:text>
    </x:comment>
    <x:comment ref="C92" authorId="0">
      <x:text>
        <x:r>
          <x:t>核对日期：2026-10-25
新增编号：88
样片入口类型：单条视频
核验与限制：协会官网直接列出官方频道及产量估算视频链接，并说明技术 webinar 范围。未全片观看或核验字幕、下载与再发布权限。
一手来源与核验入口：
https://www.youtube.com/user/GrapeGrowersOntario
https://www.youtube.com/watch?v=-ci3v_P7hhQ
https://grapegrowersofontario.com/resources/
按具体视频审核；条目纳入不代表已完成整片观看、字幕、下载或发布。</x:t>
        </x:r>
      </x:text>
    </x:comment>
    <x:comment ref="C93" authorId="0">
      <x:text>
        <x:r>
          <x:t>核对日期：2026-10-25
新增编号：89
样片入口类型：单条视频
核验与限制：机构官网给出试验设计、结果与对应技术访谈的直接 YouTube 链接；频道公开索引核验。属于实验讨论录像，未全片观看。
一手来源与核验入口：
https://www.youtube.com/@winemakersresearchexchange3274
https://www.youtube.com/watch?v=tJV1Fp-pflU
https://winemakersresearchexchange.com/
https://winemakersresearchexchange.com/learn/co-inoculation-with-malolactic-bacteria/
https://www.youtube.com/@winemakersresearchexchange3274/videos
按具体视频审核；条目纳入不代表已完成整片观看、字幕、下载或发布。</x:t>
        </x:r>
      </x:text>
    </x:comment>
    <x:comment ref="C94" authorId="0">
      <x:text>
        <x:r>
          <x:t>核对日期：2026-10-25
新增编号：90
样片入口类型：专题播放列表
核验与限制：官方资源页逐项说明对应灌溉教学视频，YouTube 列表与频道公开索引匹配；未逐条观看。
一手来源与核验入口：
https://www.youtube.com/@vineyardteam5588
https://www.youtube.com/playlist?list=PLKc5Y_4vUIXdCc84YtgNTL2IMdMT2Ed3j
https://m.youtube.com/@vineyardteam5588
https://www.vineyardteam.org/resources/resource-library/vineyard-irrigation.php
按具体视频审核；条目纳入不代表已完成整片观看、字幕、下载或发布。</x:t>
        </x:r>
      </x:text>
    </x:comment>
    <x:comment ref="C95" authorId="0">
      <x:text>
        <x:r>
          <x:t>核对日期：2026-10-25
新增编号：91
样片入口类型：专题播放列表
核验与限制：公开索引显示该列表包含 1:19:06 的酵母衍生物 webinar；频道与官网技术活动匹配。供应商观点需标明，未全片观看。
一手来源与核验入口：
https://www.youtube.com/@LallemandOenology
https://www.youtube.com/playlist?list=PL2cmpYwzFFUqsHdkk0b4w4dv-p5PfqjKn
https://www.youtube.com/c/LallemandOenology/playlists
https://www.lallemandwine.com/es/south-america/sobre-nosotros/eventos/
按具体视频审核；条目纳入不代表已完成整片观看、字幕、下载或发布。</x:t>
        </x:r>
      </x:text>
    </x:comment>
    <x:comment ref="C96" authorId="0">
      <x:text>
        <x:r>
          <x:t>核对日期：2026-10-25
新增编号：92
样片入口类型：专题播放列表
核验与限制：频道 ID 与 Harvest Winemaking Protocols 播放列表经公开索引核验，列表含起泡酒基酒与芳香白/桃红工艺。未逐条播放；供应商教学不能直接当作中立共识。
一手来源与核验入口：
https://www.youtube.com/channel/UCwCzSydFzJIqBsV7aSGTMrg
https://www.youtube.com/playlist?list=PLRqjmEDri2zxBF_OXp_YWeJFpsF3wng-F
https://www.youtube.com/@laffortloenologieparnature4834/videos
按具体视频审核；条目纳入不代表已完成整片观看、字幕、下载或发布。</x:t>
        </x:r>
      </x:text>
    </x:comment>
    <x:comment ref="C97" authorId="0">
      <x:text>
        <x:r>
          <x:t>核对日期：2026-10-25
新增编号：93
样片入口类型：单条视频
核验与限制：Enartis 官网公开索引给出该 webinar 的直接 YouTube 视频 ID；频道身份经 YouTube 索引确认。网页直抓返回错误，未全片观看。
一手来源与核验入口：
https://www.youtube.com/channel/UCGu0b-7FX1Y3ldXTQ5BHkow
https://www.youtube.com/watch?v=AdOP8Ptut_k
https://www.enartis.com/en/video-and-webinar/microbe-management-in-winemaking/
https://www.enartis.com/en-us/video-and-webinar/microbe-management-in-winemaking/
按具体视频审核；条目纳入不代表已完成整片观看、字幕、下载或发布。</x:t>
        </x:r>
      </x:text>
    </x:comment>
    <x:comment ref="C98" authorId="0">
      <x:text>
        <x:r>
          <x:t>核对日期：2026-10-25
新增编号：94
样片入口类型：YouTube 单片；另附 Filtration School 播放列表
核验与限制：频道与 Filtration School 播放列表经公开索引核验，包含预过滤、胶体、错流过滤；另有过滤器安装/使用演示且官网对应。未逐条播放。
一手来源与核验入口：
https://www.youtube.com/@ScottLaboratories
https://www.youtube.com/watch?v=ZUqJ5lLTIUw
https://www.youtube.com/playlist?list=PLZid4ic28fbnhfAP5l7tWtc9RAmBaC24n
https://www.youtube.com/playlist?list=PLZid4ic28fbn4neiWuMvGzUMVQwTjxCjx
https://scottlab.com/cartridge-filter-setup-usage
按具体视频审核；条目纳入不代表已完成整片观看、字幕、下载或发布。</x:t>
        </x:r>
      </x:text>
    </x:comment>
    <x:comment ref="C99" authorId="0">
      <x:text>
        <x:r>
          <x:t>核对日期：2026-10-25
新增编号：95
样片入口类型：专题播放列表（内含所列讲座）
核验与限制：官网2021年7月1日页面明确标注为 webinar 录像，列出两位大学研究者；Infowine 自有 YouTube 播放列表可检索到同名视频，另一自有列表索引显示时长1:27:37，足以区别于预告。样片链接定位专题播放列表，尚未取得该片的独立 watch URL；未全片观看，字幕及转载许可未核验。
一手来源与核验入口：
https://www.youtube.com/channel/UC6X9po6Tgqw5nSRs6FgsyWQ
https://www.youtube.com/playlist?list=PL7IYC-tfEAUedv1T4yFctehfGZ89OoiBh
https://www.youtube.com/channel/UC6X9po6Tgqw5nSRs6FgsyWQ/about
https://www.infowine.com/recenti-studi-sulla-quercetina-nei-vini-e-nuove-proposte-per-la-prevenzione-delle-precipitazioni/
https://www.youtube.com/playlist?list=PL7IYC-tfEAUcrx3Aat2bWoTTugfigSchQ
按具体视频审核；条目纳入不代表已完成整片观看、字幕、下载或发布。</x:t>
        </x:r>
      </x:text>
    </x:comment>
    <x:comment ref="C100" authorId="0">
      <x:text>
        <x:r>
          <x:t>核对日期：2026-10-25
新增编号：96
样片入口类型：专题播放列表
核验与限制：官网说明教学系列并直接链接 YouTube 英语播放列表；频道身份经公开索引核验。未逐片播放或核验字幕、下载与再发布权限。
一手来源与核验入口：
https://www.youtube.com/@NVGrapegrowers
https://www.youtube.com/playlist?list=PL5PjGOggWf6Y9P6v42sy-FoBdfIdGDm7T
https://www.napagrowers.org/best-practices-old.html
https://www.napagrowers.org/industry-blog/nvgs-best-practices-for-suckering
按具体视频审核；条目纳入不代表已完成整片观看、字幕、下载或发布。</x:t>
        </x:r>
      </x:text>
    </x:comment>
    <x:comment ref="C101" authorId="0">
      <x:text>
        <x:r>
          <x:t>核对日期：2026-10-25
新增编号：97
样片入口类型：专题播放列表
核验与限制：University of Georgia 葡萄栽培官网明确链接 ASEV-ES 的 Hang-Time 录影频道；YouTube 索引确认酿造 webinar 列表及多条技术题目。未逐片播放。
一手来源与核验入口：
https://www.youtube.com/@asev-es
https://www.youtube.com/playlist?list=PL3ahyvW-3wQrSRJO1BEvEpJS8ISBZH_D0
https://viticulture.uga.edu/educational-resources/videos/
https://www.youtube.com/@asev-es/videos?shelf_id=0&amp;sort=dd&amp;view=0
按具体视频审核；条目纳入不代表已完成整片观看、字幕、下载或发布。</x:t>
        </x:r>
      </x:text>
    </x:comment>
    <x:comment ref="C102" authorId="0">
      <x:text>
        <x:r>
          <x:t>核对日期：2026-10-25
新增编号：98
样片入口类型：专题播放列表
核验与限制：频道与专门教育列表经 YouTube 公开索引核验，列表明确含 Soil Symposium FULL Webinar；官网有种植者教育资源。未全片观看。
一手来源与核验入口：
https://www.youtube.com/@sonomawinegrowers
https://www.youtube.com/playlist?list=PL_mAOywi0FOfG47KYXHjOgaWWz05pBP6-
https://sonomawinegrape.org/grower-events-resources/
按具体视频审核；条目纳入不代表已完成整片观看、字幕、下载或发布。</x:t>
        </x:r>
      </x:text>
    </x:comment>
    <x:comment ref="C103" authorId="0">
      <x:text>
        <x:r>
          <x:t>核对日期：2026-10-25
新增编号：99
样片入口类型：专题播放列表
核验与限制：官网明确介绍 2024 会议录影的科研讲者和内容，YouTube 专题列表索引显示该报告时长 1:30:25；另有真实生产气候案例列表。未逐片播放。
一手来源与核验入口：
https://www.youtube.com/@CASustainableWine
https://www.youtube.com/playlist?list=PLeCKCjHuUVKk1sB8-KF7gI_tXhRNV60W6
https://library.sustainablewinegrowing.org/item/310/climate-change-impacts-actionable-strategies-for-adaptation-and-mitigation
https://www.youtube.com/playlist?list=PLeCKCjHuUVKl4O7XFy6ElYV0SswkcVZwD
按具体视频审核；条目纳入不代表已完成整片观看、字幕、下载或发布。</x:t>
        </x:r>
      </x:text>
    </x:comment>
    <x:comment ref="C104" authorId="0">
      <x:text>
        <x:r>
          <x:t>核对日期：2026-10-25
新增编号：100
样片入口类型：专题播放列表
核验与限制：官方大会页直接链接两日 YouTube 直播；YouTube公开索引核验2025专题播放列表与频道。未整片观看。
一手来源与核验入口：
https://www.youtube.com/channel/UCDnkZgL0lD9ukhdO4YuJkAQ
https://www.youtube.com/playlist?list=PLeBsYcS10LYtkMdFPTeKyMB46rwVxyyqN
https://www.oldvines.org/livestream-2025
按具体视频审核；条目纳入不代表已完成整片观看、字幕、下载或发布。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33930"/>
      <x:name val="Arial"/>
    </x:font>
    <x:font>
      <x:b/>
      <x:sz val="16"/>
      <x:color rgb="FF233930"/>
      <x:name val="Arial"/>
    </x:font>
    <x:font>
      <x:sz val="11"/>
      <x:color rgb="FF637069"/>
      <x:name val="Arial"/>
    </x:font>
    <x:font>
      <x:b/>
      <x:sz val="11"/>
      <x:color rgb="FFFFFFFF"/>
      <x:name val="Arial"/>
    </x:font>
    <x:font>
      <x:b/>
      <x:sz val="11"/>
      <x:color rgb="FF354F45"/>
      <x:name val="Arial"/>
    </x:font>
    <x:font>
      <x:b/>
      <x:sz val="11"/>
      <x:color rgb="FF233930"/>
      <x:name val="Arial"/>
    </x:font>
    <x:font>
      <x:sz val="11"/>
      <x:color rgb="FF0070C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54F45"/>
      </x:patternFill>
    </x:fill>
    <x:fill>
      <x:patternFill patternType="solid">
        <x:fgColor rgb="FFFFFFFF"/>
      </x:patternFill>
    </x:fill>
    <x:fill>
      <x:patternFill patternType="solid">
        <x:fgColor rgb="FFF6F8F4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  <x:fill>
      <x:patternFill patternType="solid">
        <x:fgColor rgb="FFF6F8F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5C2B7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a45b496a347a8" /><Relationship Type="http://schemas.openxmlformats.org/officeDocument/2006/relationships/theme" Target="/xl/theme/theme1.xml" Id="Rdea43eafad784e62" /><Relationship Type="http://schemas.openxmlformats.org/officeDocument/2006/relationships/sharedStrings" Target="/xl/sharedStrings.xml" Id="Rabb8379a76254a7b" /><Relationship Type="http://schemas.openxmlformats.org/officeDocument/2006/relationships/worksheet" Target="/xl/worksheets/sheet1.xml" Id="R054a2d0688c14647" /><Relationship Type="http://schemas.openxmlformats.org/officeDocument/2006/relationships/worksheet" Target="/xl/worksheets/sheet2.xml" Id="R3e847881fc1a493f" /><Relationship Type="http://schemas.openxmlformats.org/officeDocument/2006/relationships/worksheet" Target="/xl/worksheets/sheet3.xml" Id="Rb3d2b1c840c944c9" /></Relationships>
</file>

<file path=xl/tables/table1.xml><?xml version="1.0" encoding="utf-8"?>
<x:table xmlns:x="http://schemas.openxmlformats.org/spreadsheetml/2006/main" id="1" name="YouTubeSources" displayName="YouTubeSources" ref="A4:L104" headerRowCount="1" totalsRowCount="0" totalsRowShown="0">
  <x:autoFilter ref="A4:L104"/>
  <x:tableColumns count="12">
    <x:tableColumn id="1" name="编号"/>
    <x:tableColumn id="2" name="来源类别"/>
    <x:tableColumn id="3" name="账号／机构"/>
    <x:tableColumn id="4" name="重点地区"/>
    <x:tableColumn id="5" name="可选内容"/>
    <x:tableColumn id="6" name="代表片／栏目"/>
    <x:tableColumn id="7" name="选片顺序"/>
    <x:tableColumn id="8" name="频道链接"/>
    <x:tableColumn id="9" name="样片／栏目入口"/>
    <x:tableColumn id="10" name="获取与选片备注"/>
    <x:tableColumn id="11" name="语言线索"/>
    <x:tableColumn id="12" name="处理状态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hinaWineSources" displayName="ChinaWineSources" ref="A4:L30" headerRowCount="1" totalsRowCount="0" totalsRowShown="0">
  <x:autoFilter ref="A4:L30"/>
  <x:tableColumns count="12">
    <x:tableColumn id="1" name="素材ID"/>
    <x:tableColumn id="2" name="来源／上传者"/>
    <x:tableColumn id="3" name="来源类型"/>
    <x:tableColumn id="4" name="产区／主题"/>
    <x:tableColumn id="5" name="视频／节目标题"/>
    <x:tableColumn id="6" name="选片用途"/>
    <x:tableColumn id="7" name="选片顺序"/>
    <x:tableColumn id="8" name="视频入口"/>
    <x:tableColumn id="9" name="账号／节目入口"/>
    <x:tableColumn id="10" name="取舍备注"/>
    <x:tableColumn id="11" name="片长／发布日期"/>
    <x:tableColumn id="12" name="处理状态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ditorialRules" displayName="EditorialRules" ref="A4:D58" headerRowCount="1" totalsRowCount="0" totalsRowShown="0">
  <x:autoFilter ref="A4:D58"/>
  <x:tableColumns count="4">
    <x:tableColumn id="1" name="模块"/>
    <x:tableColumn id="2" name="项目"/>
    <x:tableColumn id="3" name="规则／操作"/>
    <x:tableColumn id="4" name="参考入口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4a33fd2019542a2" /><Relationship Type="http://schemas.openxmlformats.org/officeDocument/2006/relationships/vmlDrawing" Target="/xl/drawings/vmldrawing.vml" Id="R7a6084afe2ee448f" /><Relationship Type="http://schemas.openxmlformats.org/officeDocument/2006/relationships/table" Target="/xl/tables/table1.xml" Id="R44e76ed948884d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83cdcfea4744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b47cf0dcea494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5.78000020980835" hidden="0" customWidth="1"/>
    <x:col min="2" max="2" width="14.4399995803833" hidden="0" customWidth="1"/>
    <x:col min="3" max="3" width="25.559999465942383" hidden="0" customWidth="1"/>
    <x:col min="4" max="4" width="15.5600004196167" hidden="0" customWidth="1"/>
    <x:col min="5" max="5" width="25.559999465942383" hidden="0" customWidth="1"/>
    <x:col min="6" max="6" width="34.439998626708984" hidden="0" customWidth="1"/>
    <x:col min="7" max="7" width="9.5600004196167" hidden="0" customWidth="1"/>
    <x:col min="8" max="8" width="36.66999816894531" hidden="0" customWidth="1"/>
    <x:col min="9" max="9" width="41.11000061035156" hidden="0" customWidth="1"/>
    <x:col min="10" max="10" width="38.88999938964844" hidden="0" customWidth="1"/>
    <x:col min="11" max="11" width="17.219999313354492" hidden="0" customWidth="1"/>
    <x:col min="12" max="12" width="12.779999732971191" hidden="0" customWidth="1"/>
  </x:cols>
  <x:sheetData>
    <x:row r="1" ht="28.5" customHeight="1">
      <x:c r="A1" s="4" t="str">
        <x:v>Wine Channel｜100 个 YouTube 视频来源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5" t="str">
        <x:v>2026-10-25 · 共100个来源；51–100为本次新增。按具体视频／栏目选取；未完成整片观看、字幕或获取。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4" customHeight="1">
      <x:c r="A4" s="8" t="str">
        <x:v>编号</x:v>
      </x:c>
      <x:c r="B4" s="8" t="str">
        <x:v>来源类别</x:v>
      </x:c>
      <x:c r="C4" s="8" t="str">
        <x:v>账号／机构</x:v>
      </x:c>
      <x:c r="D4" s="8" t="str">
        <x:v>重点地区</x:v>
      </x:c>
      <x:c r="E4" s="8" t="str">
        <x:v>可选内容</x:v>
      </x:c>
      <x:c r="F4" s="8" t="str">
        <x:v>代表片／栏目</x:v>
      </x:c>
      <x:c r="G4" s="8" t="str">
        <x:v>选片顺序</x:v>
      </x:c>
      <x:c r="H4" s="8" t="str">
        <x:v>频道链接</x:v>
      </x:c>
      <x:c r="I4" s="8" t="str">
        <x:v>样片／栏目入口</x:v>
      </x:c>
      <x:c r="J4" s="8" t="str">
        <x:v>获取与选片备注</x:v>
      </x:c>
      <x:c r="K4" s="8" t="str">
        <x:v>语言线索</x:v>
      </x:c>
      <x:c r="L4" s="8" t="str">
        <x:v>处理状态</x:v>
      </x:c>
    </x:row>
    <x:row r="5" ht="69" customHeight="1">
      <x:c r="A5" s="9" t="n">
        <x:v>1</x:v>
      </x:c>
      <x:c r="B5" s="9" t="str">
        <x:v>教学与研究</x:v>
      </x:c>
      <x:c r="C5" s="9" t="str">
        <x:v>GuildSomm International</x:v>
      </x:c>
      <x:c r="D5" s="9" t="str">
        <x:v>全球产区</x:v>
      </x:c>
      <x:c r="E5" s="9" t="str">
        <x:v>产区纪录片、土壤与橡木桶解释、侍酒操作</x:v>
      </x:c>
      <x:c r="F5" s="9" t="str">
        <x:v>GuildSomm - All Videos</x:v>
      </x:c>
      <x:c r="G5" s="11" t="str">
        <x:v>先看</x:v>
      </x:c>
      <x:c r="H5" s="9" t="str">
        <x:v>https://www.youtube.com/c/GuildSomm</x:v>
      </x:c>
      <x:c r="I5" s="9" t="str">
        <x:v>https://www.youtube.com/playlist?list=PLDFWTWdngwd8BvxfWjIUCCGRoZ-k11w-r</x:v>
      </x:c>
      <x:c r="J5" s="9" t="str">
        <x:v>选实景纪录片与正式教学。</x:v>
      </x:c>
      <x:c r="K5" s="9" t="str">
        <x:v>英语；字幕待核</x:v>
      </x:c>
      <x:c r="L5" s="13" t="str">
        <x:v>待选片</x:v>
      </x:c>
    </x:row>
    <x:row r="6" ht="69" customHeight="1">
      <x:c r="A6" s="10" t="n">
        <x:v>2</x:v>
      </x:c>
      <x:c r="B6" s="10" t="str">
        <x:v>教学与研究</x:v>
      </x:c>
      <x:c r="C6" s="10" t="str">
        <x:v>WSET School London</x:v>
      </x:c>
      <x:c r="D6" s="10" t="str">
        <x:v>全球产区</x:v>
      </x:c>
      <x:c r="E6" s="10" t="str">
        <x:v>正式课程讲解、学习专题</x:v>
      </x:c>
      <x:c r="F6" s="10" t="str">
        <x:v>Study bites: wines of Argentina (WSET Level 3 wine)</x:v>
      </x:c>
      <x:c r="G6" s="12" t="str">
        <x:v>常规</x:v>
      </x:c>
      <x:c r="H6" s="10" t="str">
        <x:v>https://www.youtube.com/@wset_school_london</x:v>
      </x:c>
      <x:c r="I6" s="10" t="str">
        <x:v>https://www.youtube.com/@wset_school_london</x:v>
      </x:c>
      <x:c r="J6" s="10" t="str">
        <x:v>讲师出镜可以保留；按学习主题选片，跳过课程营销。代表标题见频道索引。</x:v>
      </x:c>
      <x:c r="K6" s="10" t="str">
        <x:v>英语；字幕待核</x:v>
      </x:c>
      <x:c r="L6" s="13" t="str">
        <x:v>待选片</x:v>
      </x:c>
    </x:row>
    <x:row r="7" ht="69" customHeight="1">
      <x:c r="A7" s="9" t="n">
        <x:v>3</x:v>
      </x:c>
      <x:c r="B7" s="9" t="str">
        <x:v>教学与研究</x:v>
      </x:c>
      <x:c r="C7" s="9" t="str">
        <x:v>Wine Scholar Guild</x:v>
      </x:c>
      <x:c r="D7" s="9" t="str">
        <x:v>欧洲及全球</x:v>
      </x:c>
      <x:c r="E7" s="9" t="str">
        <x:v>产区专家课程、葡萄品种专题</x:v>
      </x:c>
      <x:c r="F7" s="9" t="str">
        <x:v>Explore Châteauneuf-du-Pape grapes on YouTube (publisher's link label)</x:v>
      </x:c>
      <x:c r="G7" s="11" t="str">
        <x:v>常规</x:v>
      </x:c>
      <x:c r="H7" s="9" t="str">
        <x:v>https://www.youtube.com/c/WineScholarGuild</x:v>
      </x:c>
      <x:c r="I7" s="9" t="str">
        <x:v>https://www.youtube.com/watch?v=kMHEnF_HwFg</x:v>
      </x:c>
      <x:c r="J7" s="9" t="str">
        <x:v>公开视频与会员课程分开；不能把付费课程库当免费 YouTube 整片库。</x:v>
      </x:c>
      <x:c r="K7" s="9" t="str">
        <x:v>英语；字幕待核</x:v>
      </x:c>
      <x:c r="L7" s="13" t="str">
        <x:v>待选片</x:v>
      </x:c>
    </x:row>
    <x:row r="8" ht="69" customHeight="1">
      <x:c r="A8" s="10" t="n">
        <x:v>4</x:v>
      </x:c>
      <x:c r="B8" s="10" t="str">
        <x:v>教学与研究</x:v>
      </x:c>
      <x:c r="C8" s="10" t="str">
        <x:v>The_AWRI</x:v>
      </x:c>
      <x:c r="D8" s="10" t="str">
        <x:v>澳大利亚／通用技术</x:v>
      </x:c>
      <x:c r="E8" s="10" t="str">
        <x:v>葡萄栽培、葡萄酒化学、微生物与酿造</x:v>
      </x:c>
      <x:c r="F8" s="10" t="str">
        <x:v>The flavour of bottle-aged Riesling – predicting and controlling future chemistry</x:v>
      </x:c>
      <x:c r="G8" s="12" t="str">
        <x:v>先看</x:v>
      </x:c>
      <x:c r="H8" s="10" t="str">
        <x:v>https://www.youtube.com/c/TheAWRI</x:v>
      </x:c>
      <x:c r="I8" s="10" t="str">
        <x:v>https://www.youtube.com/playlist?list=PL7Z5GkvVSSxwljy7YkKBHj4nbMK69dOp-</x:v>
      </x:c>
      <x:c r="J8" s="10" t="str">
        <x:v>技术深度较高；先选与栏目主题对应的完整讲座。</x:v>
      </x:c>
      <x:c r="K8" s="10" t="str">
        <x:v>英语；字幕待核</x:v>
      </x:c>
      <x:c r="L8" s="13" t="str">
        <x:v>待选片</x:v>
      </x:c>
    </x:row>
    <x:row r="9" ht="69" customHeight="1">
      <x:c r="A9" s="9" t="n">
        <x:v>5</x:v>
      </x:c>
      <x:c r="B9" s="9" t="str">
        <x:v>教学与研究</x:v>
      </x:c>
      <x:c r="C9" s="9" t="str">
        <x:v>OIV International Organisation of Vine and Wine</x:v>
      </x:c>
      <x:c r="D9" s="9" t="str">
        <x:v>国际葡萄与葡萄酒</x:v>
      </x:c>
      <x:c r="E9" s="9" t="str">
        <x:v>研究、技术与产业数据发布</x:v>
      </x:c>
      <x:c r="F9" s="9" t="str">
        <x:v>OIV State of the World Wine Sector in 2025 presentation</x:v>
      </x:c>
      <x:c r="G9" s="11" t="str">
        <x:v>常规</x:v>
      </x:c>
      <x:c r="H9" s="9" t="str">
        <x:v>https://www.youtube.com/channel/UCWqOvit5S8HDuCRM0URZ51w</x:v>
      </x:c>
      <x:c r="I9" s="9" t="str">
        <x:v>https://www.youtube.com/channel/UCWqOvit5S8HDuCRM0URZ51w</x:v>
      </x:c>
      <x:c r="J9" s="9" t="str">
        <x:v>统计视频保留年份；新讲座可能在 OIV 应用内，须逐条确认 YouTube 入口。</x:v>
      </x:c>
      <x:c r="K9" s="9" t="str">
        <x:v>英语；字幕待核</x:v>
      </x:c>
      <x:c r="L9" s="13" t="str">
        <x:v>待选片</x:v>
      </x:c>
    </x:row>
    <x:row r="10" ht="69" customHeight="1">
      <x:c r="A10" s="10" t="n">
        <x:v>6</x:v>
      </x:c>
      <x:c r="B10" s="10" t="str">
        <x:v>教学与研究</x:v>
      </x:c>
      <x:c r="C10" s="10" t="str">
        <x:v>UC Davis Robert Mondavi Institute</x:v>
      </x:c>
      <x:c r="D10" s="10" t="str">
        <x:v>美国／葡萄酒科学</x:v>
      </x:c>
      <x:c r="E10" s="10" t="str">
        <x:v>大学讲座、教学葡萄园与酿造设施参观</x:v>
      </x:c>
      <x:c r="F10" s="10" t="str">
        <x:v>Winery &amp; Vineyard, Robert Mondavi Institute</x:v>
      </x:c>
      <x:c r="G10" s="12" t="str">
        <x:v>先看</x:v>
      </x:c>
      <x:c r="H10" s="10" t="str">
        <x:v>https://www.youtube.com/channel/UC6N-zceyByO8cUeL_ub59lA</x:v>
      </x:c>
      <x:c r="I10" s="10" t="str">
        <x:v>https://youtu.be/f8la25Z0b7w</x:v>
      </x:c>
      <x:c r="J10" s="10" t="str">
        <x:v>只选葡萄酒内容；不混入该机构其他食品与啤酒主题。</x:v>
      </x:c>
      <x:c r="K10" s="10" t="str">
        <x:v>英语；字幕待核</x:v>
      </x:c>
      <x:c r="L10" s="13" t="str">
        <x:v>待选片</x:v>
      </x:c>
    </x:row>
    <x:row r="11" ht="69" customHeight="1">
      <x:c r="A11" s="9" t="n">
        <x:v>7</x:v>
      </x:c>
      <x:c r="B11" s="9" t="str">
        <x:v>教学与研究</x:v>
      </x:c>
      <x:c r="C11" s="9" t="str">
        <x:v>Wine101x The World of Wine: From Grape to Glass — University of Adelaide</x:v>
      </x:c>
      <x:c r="D11" s="9" t="str">
        <x:v>澳大利亚／葡萄酒科学</x:v>
      </x:c>
      <x:c r="E11" s="9" t="str">
        <x:v>World of Wine 大学课程档案</x:v>
      </x:c>
      <x:c r="F11" s="9" t="str">
        <x:v>WEEK 0: Welcome to World of Wine</x:v>
      </x:c>
      <x:c r="G11" s="11" t="str">
        <x:v>先看</x:v>
      </x:c>
      <x:c r="H11" s="9" t="str">
        <x:v>https://www.youtube.com/@wine101xtheworldofwinefrom8</x:v>
      </x:c>
      <x:c r="I11" s="9" t="str">
        <x:v>https://www.youtube.com/playlist?list=PLdFIKyb4r6lSYJdSV4I2TlWW7_tZMD7V_</x:v>
      </x:c>
      <x:c r="J11" s="9" t="str">
        <x:v>已核实课程介绍合集；正文课程按主题逐条选取。</x:v>
      </x:c>
      <x:c r="K11" s="9" t="str">
        <x:v>英语；字幕待核</x:v>
      </x:c>
      <x:c r="L11" s="13" t="str">
        <x:v>待选片</x:v>
      </x:c>
    </x:row>
    <x:row r="12" ht="69" customHeight="1">
      <x:c r="A12" s="10" t="n">
        <x:v>8</x:v>
      </x:c>
      <x:c r="B12" s="10" t="str">
        <x:v>教学与研究</x:v>
      </x:c>
      <x:c r="C12" s="10" t="str">
        <x:v>Oregon State University Viticulture Extension</x:v>
      </x:c>
      <x:c r="D12" s="10" t="str">
        <x:v>美国／俄勒冈</x:v>
      </x:c>
      <x:c r="E12" s="10" t="str">
        <x:v>Vit Now! 葡萄园实操与季节性技术</x:v>
      </x:c>
      <x:c r="F12" s="10" t="str">
        <x:v>Vit Now!</x:v>
      </x:c>
      <x:c r="G12" s="12" t="str">
        <x:v>先看</x:v>
      </x:c>
      <x:c r="H12" s="10" t="str">
        <x:v>https://www.youtube.com/channel/UC_1BFPCuoPPms9J81YtNbSg</x:v>
      </x:c>
      <x:c r="I12" s="10" t="str">
        <x:v>https://www.youtube.com/playlist?list=PLDoL4rEIMngYKhATxwiKzZZgVcXu2QkeT</x:v>
      </x:c>
      <x:c r="J12" s="10" t="str">
        <x:v>大学推广教学；选修剪、藤架结构与葡萄园管理。</x:v>
      </x:c>
      <x:c r="K12" s="10" t="str">
        <x:v>英语；字幕待核</x:v>
      </x:c>
      <x:c r="L12" s="13" t="str">
        <x:v>待选片</x:v>
      </x:c>
    </x:row>
    <x:row r="13" ht="69" customHeight="1">
      <x:c r="A13" s="9" t="n">
        <x:v>9</x:v>
      </x:c>
      <x:c r="B13" s="9" t="str">
        <x:v>教学与研究</x:v>
      </x:c>
      <x:c r="C13" s="9" t="str">
        <x:v>VignevinFrance — Institut Français de la Vigne et du Vin</x:v>
      </x:c>
      <x:c r="D13" s="9" t="str">
        <x:v>法国／通用技术</x:v>
      </x:c>
      <x:c r="E13" s="9" t="str">
        <x:v>葡萄栽培、酿造研究与技术会议</x:v>
      </x:c>
      <x:c r="F13" s="9" t="str">
        <x:v>Entretiens Vigne Vin LR 2018</x:v>
      </x:c>
      <x:c r="G13" s="11" t="str">
        <x:v>先看</x:v>
      </x:c>
      <x:c r="H13" s="9" t="str">
        <x:v>https://www.youtube.com/user/VignevinFrance</x:v>
      </x:c>
      <x:c r="I13" s="9" t="str">
        <x:v>https://www.youtube.com/playlist?list=PL1dRoyJUp7dwH0PwrzmiHQdXku00iSrvx</x:v>
      </x:c>
      <x:c r="J13" s="9" t="str">
        <x:v>IFV 技术资料；保留研究日期与适用条件。</x:v>
      </x:c>
      <x:c r="K13" s="9" t="str">
        <x:v>法语；字幕待核</x:v>
      </x:c>
      <x:c r="L13" s="13" t="str">
        <x:v>待选片</x:v>
      </x:c>
    </x:row>
    <x:row r="14" ht="69" customHeight="1">
      <x:c r="A14" s="10" t="n">
        <x:v>10</x:v>
      </x:c>
      <x:c r="B14" s="10" t="str">
        <x:v>教学与研究</x:v>
      </x:c>
      <x:c r="C14" s="10" t="str">
        <x:v>Simonit&amp;Sirch</x:v>
      </x:c>
      <x:c r="D14" s="10" t="str">
        <x:v>意大利／全球葡萄园</x:v>
      </x:c>
      <x:c r="E14" s="10" t="str">
        <x:v>Guyot 修剪及葡萄藤管理实操</x:v>
      </x:c>
      <x:c r="F14" s="10" t="str">
        <x:v>Tutorial 1 - metodo Simonit&amp;Sirch, il Guyot</x:v>
      </x:c>
      <x:c r="G14" s="12" t="str">
        <x:v>先看</x:v>
      </x:c>
      <x:c r="H14" s="10" t="str">
        <x:v>https://www.youtube.com/channel/UCuo6oIkYVpVDPij2GlGlDvw</x:v>
      </x:c>
      <x:c r="I14" s="10" t="str">
        <x:v>https://www.youtube.com/playlist?list=PLV6zu1i6NVI4eB6cXjM21EY2831mYKE7V</x:v>
      </x:c>
      <x:c r="J14" s="10" t="str">
        <x:v>优先葡萄园里的演示；另有付费课程，不混入公开视频清单。</x:v>
      </x:c>
      <x:c r="K14" s="10" t="str">
        <x:v>意大利语；字幕待核</x:v>
      </x:c>
      <x:c r="L14" s="13" t="str">
        <x:v>待选片</x:v>
      </x:c>
    </x:row>
    <x:row r="15" ht="69" customHeight="1">
      <x:c r="A15" s="9" t="n">
        <x:v>11</x:v>
      </x:c>
      <x:c r="B15" s="9" t="str">
        <x:v>教学与研究</x:v>
      </x:c>
      <x:c r="C15" s="9" t="str">
        <x:v>Linfield Archives / Oregon Wine History Archive</x:v>
      </x:c>
      <x:c r="D15" s="9" t="str">
        <x:v>美国／俄勒冈</x:v>
      </x:c>
      <x:c r="E15" s="9" t="str">
        <x:v>大学口述史档案：庄主、种植者长访谈</x:v>
      </x:c>
      <x:c r="F15" s="9" t="str">
        <x:v>Oral History Interview with Lonnie Wright</x:v>
      </x:c>
      <x:c r="G15" s="11" t="str">
        <x:v>先看</x:v>
      </x:c>
      <x:c r="H15" s="9" t="str">
        <x:v>https://www.youtube.com/user/LinfieldArchives</x:v>
      </x:c>
      <x:c r="I15" s="9" t="str">
        <x:v>https://youtu.be/36yxxDp_rT8</x:v>
      </x:c>
      <x:c r="J15" s="9" t="str">
        <x:v>只选 Oregon Wine History Archive；不是整个大学档案频道。</x:v>
      </x:c>
      <x:c r="K15" s="9" t="str">
        <x:v>英语；字幕待核</x:v>
      </x:c>
      <x:c r="L15" s="13" t="str">
        <x:v>待选片</x:v>
      </x:c>
    </x:row>
    <x:row r="16" ht="69" customHeight="1">
      <x:c r="A16" s="10" t="n">
        <x:v>12</x:v>
      </x:c>
      <x:c r="B16" s="10" t="str">
        <x:v>教学与研究</x:v>
      </x:c>
      <x:c r="C16" s="10" t="str">
        <x:v>La Cité du Vin</x:v>
      </x:c>
      <x:c r="D16" s="10" t="str">
        <x:v>法国／葡萄酒文化</x:v>
      </x:c>
      <x:c r="E16" s="10" t="str">
        <x:v>生产者对话、文化与历史讲座</x:v>
      </x:c>
      <x:c r="F16" s="10" t="str">
        <x:v>Martin Bouygues: The Art of Building, the Taste of Terroir</x:v>
      </x:c>
      <x:c r="G16" s="12" t="str">
        <x:v>常规</x:v>
      </x:c>
      <x:c r="H16" s="10" t="str">
        <x:v>https://www.youtube.com/channel/UCBJGS5jhKfQ_MmO2nv2xlNg</x:v>
      </x:c>
      <x:c r="I16" s="10" t="str">
        <x:v>https://www.youtube.com/channel/UCBJGS5jhKfQ_MmO2nv2xlNg/videos</x:v>
      </x:c>
      <x:c r="J16" s="10" t="str">
        <x:v>代表标题来自频道目录；不是每期都是葡萄园实拍。</x:v>
      </x:c>
      <x:c r="K16" s="10" t="str">
        <x:v>法语；字幕待核</x:v>
      </x:c>
      <x:c r="L16" s="13" t="str">
        <x:v>待选片</x:v>
      </x:c>
    </x:row>
    <x:row r="17" ht="69" customHeight="1">
      <x:c r="A17" s="9" t="n">
        <x:v>13</x:v>
      </x:c>
      <x:c r="B17" s="9" t="str">
        <x:v>教学与研究</x:v>
      </x:c>
      <x:c r="C17" s="9" t="str">
        <x:v>ASISomms</x:v>
      </x:c>
      <x:c r="D17" s="9" t="str">
        <x:v>国际侍酒</x:v>
      </x:c>
      <x:c r="E17" s="9" t="str">
        <x:v>醒酒、起泡酒服务等实操示范</x:v>
      </x:c>
      <x:c r="F17" s="9" t="str">
        <x:v>ASI Video Tutorials</x:v>
      </x:c>
      <x:c r="G17" s="11" t="str">
        <x:v>常规</x:v>
      </x:c>
      <x:c r="H17" s="9" t="str">
        <x:v>https://www.youtube.com/asisomms</x:v>
      </x:c>
      <x:c r="I17" s="9" t="str">
        <x:v>https://www.asi.info/education/grids-tutorials/</x:v>
      </x:c>
      <x:c r="J17" s="9" t="str">
        <x:v>优先教学示范；赛事与活动按主题选择。</x:v>
      </x:c>
      <x:c r="K17" s="9" t="str">
        <x:v>英语；字幕待核</x:v>
      </x:c>
      <x:c r="L17" s="13" t="str">
        <x:v>待选片</x:v>
      </x:c>
    </x:row>
    <x:row r="18" ht="69" customHeight="1">
      <x:c r="A18" s="10" t="n">
        <x:v>14</x:v>
      </x:c>
      <x:c r="B18" s="10" t="str">
        <x:v>教学与研究</x:v>
      </x:c>
      <x:c r="C18" s="10" t="str">
        <x:v>WSU CAHNRS（Washington State University）</x:v>
      </x:c>
      <x:c r="D18" s="10" t="str">
        <x:v>美国／华盛顿州</x:v>
      </x:c>
      <x:c r="E18" s="10" t="str">
        <x:v>葡萄酒科研设施与大学教学现场</x:v>
      </x:c>
      <x:c r="F18" s="10" t="str">
        <x:v>Wine Science Center at WSU Tri Cities</x:v>
      </x:c>
      <x:c r="G18" s="12" t="str">
        <x:v>补充</x:v>
      </x:c>
      <x:c r="H18" s="10" t="str">
        <x:v>https://www.youtube.com/user/WSUCAHNRS</x:v>
      </x:c>
      <x:c r="I18" s="10" t="str">
        <x:v>https://www.youtube.com/watch?v=6lAsKFUUnf4</x:v>
      </x:c>
      <x:c r="J18" s="10" t="str">
        <x:v>综合农学院账号；只选葡萄酒相关现场影片。已核实样片偏设施与专业介绍，非完整科研讲座库。</x:v>
      </x:c>
      <x:c r="K18" s="10" t="str">
        <x:v>英语；字幕待核</x:v>
      </x:c>
      <x:c r="L18" s="13" t="str">
        <x:v>待选片</x:v>
      </x:c>
    </x:row>
    <x:row r="19" ht="69" customHeight="1">
      <x:c r="A19" s="9" t="n">
        <x:v>15</x:v>
      </x:c>
      <x:c r="B19" s="9" t="str">
        <x:v>产区资料</x:v>
      </x:c>
      <x:c r="C19" s="9" t="str">
        <x:v>Wine Australia</x:v>
      </x:c>
      <x:c r="D19" s="9" t="str">
        <x:v>澳大利亚</x:v>
      </x:c>
      <x:c r="E19" s="9" t="str">
        <x:v>产区、栽培研究、酿造教育</x:v>
      </x:c>
      <x:c r="F19" s="9" t="str">
        <x:v>Discover Australian Wine</x:v>
      </x:c>
      <x:c r="G19" s="11" t="str">
        <x:v>先看</x:v>
      </x:c>
      <x:c r="H19" s="9" t="str">
        <x:v>https://www.youtube.com/channel/UCcvnoaYz9Ju_vliN1I4LODg</x:v>
      </x:c>
      <x:c r="I19" s="9" t="str">
        <x:v>https://www.youtube.com/watch?v=eJtkIOEu0d0</x:v>
      </x:c>
      <x:c r="J19" s="9" t="str">
        <x:v>另有 Australian Wine Discovered 官方下载素材；其许可不可扩大到整个 YouTube 频道。</x:v>
      </x:c>
      <x:c r="K19" s="9" t="str">
        <x:v>英语；字幕待核</x:v>
      </x:c>
      <x:c r="L19" s="13" t="str">
        <x:v>待选片</x:v>
      </x:c>
    </x:row>
    <x:row r="20" ht="69" customHeight="1">
      <x:c r="A20" s="10" t="n">
        <x:v>16</x:v>
      </x:c>
      <x:c r="B20" s="10" t="str">
        <x:v>产区资料</x:v>
      </x:c>
      <x:c r="C20" s="10" t="str">
        <x:v>New Zealand Wine</x:v>
      </x:c>
      <x:c r="D20" s="10" t="str">
        <x:v>新西兰</x:v>
      </x:c>
      <x:c r="E20" s="10" t="str">
        <x:v>产区地理、气候、土壤与种植条件</x:v>
      </x:c>
      <x:c r="F20" s="10" t="str">
        <x:v>Central Otago Wine Region</x:v>
      </x:c>
      <x:c r="G20" s="12" t="str">
        <x:v>先看</x:v>
      </x:c>
      <x:c r="H20" s="10" t="str">
        <x:v>https://www.youtube.com/c/NewZealandWine</x:v>
      </x:c>
      <x:c r="I20" s="10" t="str">
        <x:v>https://www.youtube.com/watch?v=dt6BkhgyQ_Q</x:v>
      </x:c>
      <x:c r="J20" s="10" t="str">
        <x:v>官网提供地区影片及获取下载版的渠道；剪辑、翻译用途需查具体条款。</x:v>
      </x:c>
      <x:c r="K20" s="10" t="str">
        <x:v>英语；字幕待核</x:v>
      </x:c>
      <x:c r="L20" s="13" t="str">
        <x:v>待选片</x:v>
      </x:c>
    </x:row>
    <x:row r="21" ht="69" customHeight="1">
      <x:c r="A21" s="9" t="n">
        <x:v>17</x:v>
      </x:c>
      <x:c r="B21" s="9" t="str">
        <x:v>产区资料</x:v>
      </x:c>
      <x:c r="C21" s="9" t="str">
        <x:v>Wines of South Africa</x:v>
      </x:c>
      <x:c r="D21" s="9" t="str">
        <x:v>南非</x:v>
      </x:c>
      <x:c r="E21" s="9" t="str">
        <x:v>酿酒师故事、种植与酿造讨论</x:v>
      </x:c>
      <x:c r="F21" s="9" t="str">
        <x:v>7 June 2021 - What next for winemaking?; Democracy Series: Ntsiki Biyela</x:v>
      </x:c>
      <x:c r="G21" s="11" t="str">
        <x:v>常规</x:v>
      </x:c>
      <x:c r="H21" s="9" t="str">
        <x:v>https://www.youtube.com/c/WinesofSouthAfrica</x:v>
      </x:c>
      <x:c r="I21" s="9" t="str">
        <x:v>https://wosa.co.za/Multimedia/Videos/Downloads/</x:v>
      </x:c>
      <x:c r="J21" s="9" t="str">
        <x:v>选生产者故事和技术讨论；跳过活动推广与餐饮片段。</x:v>
      </x:c>
      <x:c r="K21" s="9" t="str">
        <x:v>英语；字幕待核</x:v>
      </x:c>
      <x:c r="L21" s="13" t="str">
        <x:v>待选片</x:v>
      </x:c>
    </x:row>
    <x:row r="22" ht="69" customHeight="1">
      <x:c r="A22" s="10" t="n">
        <x:v>18</x:v>
      </x:c>
      <x:c r="B22" s="10" t="str">
        <x:v>产区资料</x:v>
      </x:c>
      <x:c r="C22" s="10" t="str">
        <x:v>Vins de Bourgogne BIVB</x:v>
      </x:c>
      <x:c r="D22" s="10" t="str">
        <x:v>法国／勃艮第</x:v>
      </x:c>
      <x:c r="E22" s="10" t="str">
        <x:v>法定产区、葡萄园实景、栽培与酿造</x:v>
      </x:c>
      <x:c r="F22" s="10" t="str">
        <x:v>Wine-growing Bourgogne in summary</x:v>
      </x:c>
      <x:c r="G22" s="12" t="str">
        <x:v>先看</x:v>
      </x:c>
      <x:c r="H22" s="10" t="str">
        <x:v>https://www.youtube.com/c/VinsdeBourgogneBIVB</x:v>
      </x:c>
      <x:c r="I22" s="10" t="str">
        <x:v>https://www.youtube.com/playlist?list=PLFeJ8hAKG36LwbsJtQ44AotuCxVlc9rqB</x:v>
      </x:c>
      <x:c r="J22" s="10" t="str">
        <x:v>优先产区短片、航拍与生产解释；保留原始产区名称。</x:v>
      </x:c>
      <x:c r="K22" s="10" t="str">
        <x:v>英语／法语；字幕待核</x:v>
      </x:c>
      <x:c r="L22" s="13" t="str">
        <x:v>待选片</x:v>
      </x:c>
    </x:row>
    <x:row r="23" ht="69" customHeight="1">
      <x:c r="A23" s="9" t="n">
        <x:v>19</x:v>
      </x:c>
      <x:c r="B23" s="9" t="str">
        <x:v>产区资料</x:v>
      </x:c>
      <x:c r="C23" s="9" t="str">
        <x:v>Vins d'Alsace</x:v>
      </x:c>
      <x:c r="D23" s="9" t="str">
        <x:v>法国／阿尔萨斯</x:v>
      </x:c>
      <x:c r="E23" s="9" t="str">
        <x:v>采收现场、产区与葡萄园</x:v>
      </x:c>
      <x:c r="F23" s="9" t="str">
        <x:v>LiveVendanges en Alsace — #LiveVendanges jour 1 - vendanges manuelles à Orschwihr (le REPLAY)</x:v>
      </x:c>
      <x:c r="G23" s="11" t="str">
        <x:v>常规</x:v>
      </x:c>
      <x:c r="H23" s="9" t="str">
        <x:v>https://www.youtube.com/channel/UCRVSVTBAAY-DB2QxVHhWstg</x:v>
      </x:c>
      <x:c r="I23" s="9" t="str">
        <x:v>https://www.youtube.com/playlist?list=PLq_53cXOU_nOlGD2joNpCBClzMxHoEeFU</x:v>
      </x:c>
      <x:c r="J23" s="9" t="str">
        <x:v>LiveVendanges 为实际采收内容；逐集检查时长与语言。</x:v>
      </x:c>
      <x:c r="K23" s="9" t="str">
        <x:v>法语；字幕待核</x:v>
      </x:c>
      <x:c r="L23" s="13" t="str">
        <x:v>待选片</x:v>
      </x:c>
    </x:row>
    <x:row r="24" ht="69" customHeight="1">
      <x:c r="A24" s="10" t="n">
        <x:v>20</x:v>
      </x:c>
      <x:c r="B24" s="10" t="str">
        <x:v>产区资料</x:v>
      </x:c>
      <x:c r="C24" s="10" t="str">
        <x:v>Bordeaux Wine</x:v>
      </x:c>
      <x:c r="D24" s="10" t="str">
        <x:v>法国／波尔多</x:v>
      </x:c>
      <x:c r="E24" s="10" t="str">
        <x:v>Winemaker Portraits 酿酒师访谈</x:v>
      </x:c>
      <x:c r="F24" s="10" t="str">
        <x:v>Bordeaux Wine: Winemaker Portraits — Meet Winemaker Patrick Junet; Meet Winemaker Jonathan Ducourt</x:v>
      </x:c>
      <x:c r="G24" s="12" t="str">
        <x:v>常规</x:v>
      </x:c>
      <x:c r="H24" s="10" t="str">
        <x:v>https://www.youtube.com/user/WineBordeaux</x:v>
      </x:c>
      <x:c r="I24" s="10" t="str">
        <x:v>https://www.youtube.com/playlist?list=PLA729D80F612C369B</x:v>
      </x:c>
      <x:c r="J24" s="10" t="str">
        <x:v>选酿酒师与葡萄园内容，跳过品牌活动广告。</x:v>
      </x:c>
      <x:c r="K24" s="10" t="str">
        <x:v>英语；字幕待核</x:v>
      </x:c>
      <x:c r="L24" s="13" t="str">
        <x:v>待选片</x:v>
      </x:c>
    </x:row>
    <x:row r="25" ht="69" customHeight="1">
      <x:c r="A25" s="9" t="n">
        <x:v>21</x:v>
      </x:c>
      <x:c r="B25" s="9" t="str">
        <x:v>产区资料</x:v>
      </x:c>
      <x:c r="C25" s="9" t="str">
        <x:v>Loire Wines</x:v>
      </x:c>
      <x:c r="D25" s="9" t="str">
        <x:v>法国／卢瓦尔河谷</x:v>
      </x:c>
      <x:c r="E25" s="9" t="str">
        <x:v>产区课程、葡萄园走访</x:v>
      </x:c>
      <x:c r="F25" s="9" t="str">
        <x:v>Masterclass (Loire Wines playlist)</x:v>
      </x:c>
      <x:c r="G25" s="11" t="str">
        <x:v>常规</x:v>
      </x:c>
      <x:c r="H25" s="9" t="str">
        <x:v>https://www.youtube.com/user/interloire</x:v>
      </x:c>
      <x:c r="I25" s="9" t="str">
        <x:v>https://www.youtube.com/playlist?list=PLkgx-vIS-7CGZrxvfDCyfOe0aH7Yb6atp</x:v>
      </x:c>
      <x:c r="J25" s="9" t="str">
        <x:v>优先 Masterclass；徒步活动视频须有实际产区信息。</x:v>
      </x:c>
      <x:c r="K25" s="9" t="str">
        <x:v>法语；字幕待核</x:v>
      </x:c>
      <x:c r="L25" s="13" t="str">
        <x:v>待选片</x:v>
      </x:c>
    </x:row>
    <x:row r="26" ht="69" customHeight="1">
      <x:c r="A26" s="10" t="n">
        <x:v>22</x:v>
      </x:c>
      <x:c r="B26" s="10" t="str">
        <x:v>产区资料</x:v>
      </x:c>
      <x:c r="C26" s="10" t="str">
        <x:v>Rioja Wine</x:v>
      </x:c>
      <x:c r="D26" s="10" t="str">
        <x:v>西班牙／里奥哈</x:v>
      </x:c>
      <x:c r="E26" s="10" t="str">
        <x:v>Rioja Paired 产区纪录系列</x:v>
      </x:c>
      <x:c r="F26" s="10" t="str">
        <x:v>Rioja Paired, with Marti Buckley</x:v>
      </x:c>
      <x:c r="G26" s="12" t="str">
        <x:v>常规</x:v>
      </x:c>
      <x:c r="H26" s="10" t="str">
        <x:v>https://www.youtube.com/channel/UCrt9A7ZpSoM5qsVXSscEmcw</x:v>
      </x:c>
      <x:c r="I26" s="10" t="str">
        <x:v>https://www.youtube.com/playlist?list=PLtnKtRulQTMLnTEb7WY3UjKkmmWga9AYi</x:v>
      </x:c>
      <x:c r="J26" s="10" t="str">
        <x:v>英文合集包含多个栏目，并非该纪录系列专属播放列表。</x:v>
      </x:c>
      <x:c r="K26" s="10" t="str">
        <x:v>英语／西班牙语；字幕待核</x:v>
      </x:c>
      <x:c r="L26" s="13" t="str">
        <x:v>待选片</x:v>
      </x:c>
    </x:row>
    <x:row r="27" ht="69" customHeight="1">
      <x:c r="A27" s="9" t="n">
        <x:v>23</x:v>
      </x:c>
      <x:c r="B27" s="9" t="str">
        <x:v>产区资料</x:v>
      </x:c>
      <x:c r="C27" s="9" t="str">
        <x:v>Wines of Portugal</x:v>
      </x:c>
      <x:c r="D27" s="9" t="str">
        <x:v>葡萄牙</x:v>
      </x:c>
      <x:c r="E27" s="9" t="str">
        <x:v>本土品种、产区 Masterclass</x:v>
      </x:c>
      <x:c r="F27" s="9" t="str">
        <x:v>Wines of Portugal Masterclass Tinta Roriz / Aragonez</x:v>
      </x:c>
      <x:c r="G27" s="11" t="str">
        <x:v>常规</x:v>
      </x:c>
      <x:c r="H27" s="9" t="str">
        <x:v>https://www.youtube.com/@winesofportugal/videos</x:v>
      </x:c>
      <x:c r="I27" s="9" t="str">
        <x:v>https://www.youtube.com/@winesofportugal/videos</x:v>
      </x:c>
      <x:c r="J27" s="9" t="str">
        <x:v>Tinta Roriz / Aragonez 样片标题见频道索引；跳过营销论坛。</x:v>
      </x:c>
      <x:c r="K27" s="9" t="str">
        <x:v>逐片核对</x:v>
      </x:c>
      <x:c r="L27" s="13" t="str">
        <x:v>待选片</x:v>
      </x:c>
    </x:row>
    <x:row r="28" ht="69" customHeight="1">
      <x:c r="A28" s="10" t="n">
        <x:v>24</x:v>
      </x:c>
      <x:c r="B28" s="10" t="str">
        <x:v>产区资料</x:v>
      </x:c>
      <x:c r="C28" s="10" t="str">
        <x:v>Napa Valley Vintners</x:v>
      </x:c>
      <x:c r="D28" s="10" t="str">
        <x:v>美国／纳帕谷</x:v>
      </x:c>
      <x:c r="E28" s="10" t="str">
        <x:v>Napa Valley Rocks 地质与风土教学</x:v>
      </x:c>
      <x:c r="F28" s="10" t="str">
        <x:v>Napa Valley Rocks: Soils and Geology</x:v>
      </x:c>
      <x:c r="G28" s="12" t="str">
        <x:v>先看</x:v>
      </x:c>
      <x:c r="H28" s="10" t="str">
        <x:v>https://www.youtube.com/NapaVintners</x:v>
      </x:c>
      <x:c r="I28" s="10" t="str">
        <x:v>https://www.youtube.com/watch?v=_lHTr1xCGtE</x:v>
      </x:c>
      <x:c r="J28" s="10" t="str">
        <x:v>官网已列出地质影片；跳过拍卖与活动宣传。</x:v>
      </x:c>
      <x:c r="K28" s="10" t="str">
        <x:v>英语；字幕待核</x:v>
      </x:c>
      <x:c r="L28" s="13" t="str">
        <x:v>待选片</x:v>
      </x:c>
    </x:row>
    <x:row r="29" ht="69" customHeight="1">
      <x:c r="A29" s="9" t="n">
        <x:v>25</x:v>
      </x:c>
      <x:c r="B29" s="9" t="str">
        <x:v>产区资料</x:v>
      </x:c>
      <x:c r="C29" s="9" t="str">
        <x:v>Austrian Wine</x:v>
      </x:c>
      <x:c r="D29" s="9" t="str">
        <x:v>奥地利</x:v>
      </x:c>
      <x:c r="E29" s="9" t="str">
        <x:v>葡萄种植者一年：修剪、采收、压榨与酒窖</x:v>
      </x:c>
      <x:c r="F29" s="9" t="str">
        <x:v>A year in the life of a winegrower</x:v>
      </x:c>
      <x:c r="G29" s="11" t="str">
        <x:v>先看</x:v>
      </x:c>
      <x:c r="H29" s="9" t="str">
        <x:v>https://www.youtube.com/user/oesterreichwein</x:v>
      </x:c>
      <x:c r="I29" s="9" t="str">
        <x:v>https://www.youtube.com/watch?v=vG7SxbhgD-A</x:v>
      </x:c>
      <x:c r="J29" s="9" t="str">
        <x:v>适合按生长季与生产环节组织学习。</x:v>
      </x:c>
      <x:c r="K29" s="9" t="str">
        <x:v>英语；字幕待核</x:v>
      </x:c>
      <x:c r="L29" s="13" t="str">
        <x:v>待选片</x:v>
      </x:c>
    </x:row>
    <x:row r="30" ht="69" customHeight="1">
      <x:c r="A30" s="10" t="n">
        <x:v>26</x:v>
      </x:c>
      <x:c r="B30" s="10" t="str">
        <x:v>产区资料</x:v>
      </x:c>
      <x:c r="C30" s="10" t="str">
        <x:v>Wines of Argentina</x:v>
      </x:c>
      <x:c r="D30" s="10" t="str">
        <x:v>阿根廷</x:v>
      </x:c>
      <x:c r="E30" s="10" t="str">
        <x:v>Argentina 3D Winemakers Sessions</x:v>
      </x:c>
      <x:c r="F30" s="10" t="str">
        <x:v>Argentina 3D, Winemakers Sessions</x:v>
      </x:c>
      <x:c r="G30" s="12" t="str">
        <x:v>常规</x:v>
      </x:c>
      <x:c r="H30" s="10" t="str">
        <x:v>https://www.youtube.com/user/winesofargentina</x:v>
      </x:c>
      <x:c r="I30" s="10" t="str">
        <x:v>https://blog.winesofargentina.com/destacadas/argentina-3d-winemakers-sessions/</x:v>
      </x:c>
      <x:c r="J30" s="10" t="str">
        <x:v>官方文章确认访谈可在频道观看；当前入口为系列说明页。</x:v>
      </x:c>
      <x:c r="K30" s="10" t="str">
        <x:v>英语／西班牙语；字幕待核</x:v>
      </x:c>
      <x:c r="L30" s="13" t="str">
        <x:v>待选片</x:v>
      </x:c>
    </x:row>
    <x:row r="31" ht="69" customHeight="1">
      <x:c r="A31" s="9" t="n">
        <x:v>27</x:v>
      </x:c>
      <x:c r="B31" s="9" t="str">
        <x:v>产区资料</x:v>
      </x:c>
      <x:c r="C31" s="9" t="str">
        <x:v>Wines of Chile</x:v>
      </x:c>
      <x:c r="D31" s="9" t="str">
        <x:v>智利</x:v>
      </x:c>
      <x:c r="E31" s="9" t="str">
        <x:v>Terroir+Chile 酒庄与风土实拍</x:v>
      </x:c>
      <x:c r="F31" s="9" t="str">
        <x:v>Terroir+Chile - VIK (Ep.06)</x:v>
      </x:c>
      <x:c r="G31" s="11" t="str">
        <x:v>常规</x:v>
      </x:c>
      <x:c r="H31" s="9" t="str">
        <x:v>https://www.youtube.com/@winesofchile9875/videos</x:v>
      </x:c>
      <x:c r="I31" s="9" t="str">
        <x:v>https://www.youtube.com/@winesofchile9875/videos</x:v>
      </x:c>
      <x:c r="J31" s="9" t="str">
        <x:v>VIK 第6集标题见频道索引；只选风土与生产内容。</x:v>
      </x:c>
      <x:c r="K31" s="9" t="str">
        <x:v>逐片核对</x:v>
      </x:c>
      <x:c r="L31" s="13" t="str">
        <x:v>待选片</x:v>
      </x:c>
    </x:row>
    <x:row r="32" ht="69" customHeight="1">
      <x:c r="A32" s="10" t="n">
        <x:v>28</x:v>
      </x:c>
      <x:c r="B32" s="10" t="str">
        <x:v>产区资料</x:v>
      </x:c>
      <x:c r="C32" s="10" t="str">
        <x:v>Vignobles de la Vallée du Rhône</x:v>
      </x:c>
      <x:c r="D32" s="10" t="str">
        <x:v>法国／罗讷河谷</x:v>
      </x:c>
      <x:c r="E32" s="10" t="str">
        <x:v>村庄、法定产区与种植者</x:v>
      </x:c>
      <x:c r="F32" s="10" t="str">
        <x:v>Côtes du Rhône Villages</x:v>
      </x:c>
      <x:c r="G32" s="12" t="str">
        <x:v>常规</x:v>
      </x:c>
      <x:c r="H32" s="10" t="str">
        <x:v>https://www.youtube.com/@VinsRhone</x:v>
      </x:c>
      <x:c r="I32" s="10" t="str">
        <x:v>https://www.youtube.com/playlist?list=PLiMzq45gjagwcBFiBOTY8cEn4VTqY-s8T</x:v>
      </x:c>
      <x:c r="J32" s="10" t="str">
        <x:v>选 Côtes du Rhône Villages 等产区栏目。</x:v>
      </x:c>
      <x:c r="K32" s="10" t="str">
        <x:v>法语；字幕待核</x:v>
      </x:c>
      <x:c r="L32" s="13" t="str">
        <x:v>待选片</x:v>
      </x:c>
    </x:row>
    <x:row r="33" ht="69" customHeight="1">
      <x:c r="A33" s="9" t="n">
        <x:v>29</x:v>
      </x:c>
      <x:c r="B33" s="9" t="str">
        <x:v>产区资料</x:v>
      </x:c>
      <x:c r="C33" s="9" t="str">
        <x:v>Champagne</x:v>
      </x:c>
      <x:c r="D33" s="9" t="str">
        <x:v>法国／香槟</x:v>
      </x:c>
      <x:c r="E33" s="9" t="str">
        <x:v>采收、压榨、调配等制作教学</x:v>
      </x:c>
      <x:c r="F33" s="9" t="str">
        <x:v>Clips pédagogiques — La vendange et le pressurage en Champagne; L'assemblage en Champagne</x:v>
      </x:c>
      <x:c r="G33" s="11" t="str">
        <x:v>先看</x:v>
      </x:c>
      <x:c r="H33" s="9" t="str">
        <x:v>https://m.youtube.com/champagne/playlists</x:v>
      </x:c>
      <x:c r="I33" s="9" t="str">
        <x:v>https://www.youtube.com/playlist?list=PLcubZP9dtaKHuiJeKYeMF26cHWlbd8UNS</x:v>
      </x:c>
      <x:c r="J33" s="9" t="str">
        <x:v>采用官方 Champagne 频道及教学合集；逐片核对语言。</x:v>
      </x:c>
      <x:c r="K33" s="9" t="str">
        <x:v>法语；字幕待核</x:v>
      </x:c>
      <x:c r="L33" s="13" t="str">
        <x:v>待选片</x:v>
      </x:c>
    </x:row>
    <x:row r="34" ht="69" customHeight="1">
      <x:c r="A34" s="10" t="n">
        <x:v>30</x:v>
      </x:c>
      <x:c r="B34" s="10" t="str">
        <x:v>产区资料</x:v>
      </x:c>
      <x:c r="C34" s="10" t="str">
        <x:v>vinosdejereztv</x:v>
      </x:c>
      <x:c r="D34" s="10" t="str">
        <x:v>西班牙／赫雷斯</x:v>
      </x:c>
      <x:c r="E34" s="10" t="str">
        <x:v>雪莉生产、酒窖陈年与正式教学</x:v>
      </x:c>
      <x:c r="F34" s="10" t="str">
        <x:v>Online Sherry Wine Tasting</x:v>
      </x:c>
      <x:c r="G34" s="12" t="str">
        <x:v>常规</x:v>
      </x:c>
      <x:c r="H34" s="10" t="str">
        <x:v>https://www.youtube.com/user/vinosdejereztv</x:v>
      </x:c>
      <x:c r="I34" s="10" t="str">
        <x:v>https://www.youtube.com/watch?v=v0HbOzAPfHw</x:v>
      </x:c>
      <x:c r="J34" s="10" t="str">
        <x:v>先找生产与陈年解释；品鉴讲座仅选有明确教学内容者。</x:v>
      </x:c>
      <x:c r="K34" s="10" t="str">
        <x:v>英语／西班牙语；字幕待核</x:v>
      </x:c>
      <x:c r="L34" s="13" t="str">
        <x:v>待选片</x:v>
      </x:c>
    </x:row>
    <x:row r="35" ht="69" customHeight="1">
      <x:c r="A35" s="9" t="n">
        <x:v>31</x:v>
      </x:c>
      <x:c r="B35" s="9" t="str">
        <x:v>产区资料</x:v>
      </x:c>
      <x:c r="C35" s="9" t="str">
        <x:v>Wines of Germany (Deutsches Weininstitut)</x:v>
      </x:c>
      <x:c r="D35" s="9" t="str">
        <x:v>德国</x:v>
      </x:c>
      <x:c r="E35" s="9" t="str">
        <x:v>Ahr 产区影片、专业研讨会</x:v>
      </x:c>
      <x:c r="F35" s="9" t="str">
        <x:v>Ahr – The Valley of the Red Grape</x:v>
      </x:c>
      <x:c r="G35" s="11" t="str">
        <x:v>常规</x:v>
      </x:c>
      <x:c r="H35" s="9" t="str">
        <x:v>https://www.youtube.com/user/deutscheweine</x:v>
      </x:c>
      <x:c r="I35" s="9" t="str">
        <x:v>https://www.youtube.com/user/deutscheweine</x:v>
      </x:c>
      <x:c r="J35" s="9" t="str">
        <x:v>德语与英语资料混合；选片时核对字幕。</x:v>
      </x:c>
      <x:c r="K35" s="9" t="str">
        <x:v>英语／德语；字幕待核</x:v>
      </x:c>
      <x:c r="L35" s="13" t="str">
        <x:v>待选片</x:v>
      </x:c>
    </x:row>
    <x:row r="36" ht="69" customHeight="1">
      <x:c r="A36" s="10" t="n">
        <x:v>32</x:v>
      </x:c>
      <x:c r="B36" s="10" t="str">
        <x:v>产区资料</x:v>
      </x:c>
      <x:c r="C36" s="10" t="str">
        <x:v>Oregon Wine — Oregon Wine Board</x:v>
      </x:c>
      <x:c r="D36" s="10" t="str">
        <x:v>美国／俄勒冈</x:v>
      </x:c>
      <x:c r="E36" s="10" t="str">
        <x:v>We Are Oregon Wine 及分产区影片</x:v>
      </x:c>
      <x:c r="F36" s="10" t="str">
        <x:v>We Are Oregon Wine Full Video</x:v>
      </x:c>
      <x:c r="G36" s="12" t="str">
        <x:v>先看</x:v>
      </x:c>
      <x:c r="H36" s="10" t="str">
        <x:v>https://www.youtube.com/@Oregonwine</x:v>
      </x:c>
      <x:c r="I36" s="10" t="str">
        <x:v>https://www.youtube.com/watch?v=D98-AZFHWac</x:v>
      </x:c>
      <x:c r="J36" s="10" t="str">
        <x:v>官网直接列出完整地区影片及原始 YouTube 入口；另有 Mastering Oregon 课程。</x:v>
      </x:c>
      <x:c r="K36" s="10" t="str">
        <x:v>英语；字幕待核</x:v>
      </x:c>
      <x:c r="L36" s="13" t="str">
        <x:v>待选片</x:v>
      </x:c>
    </x:row>
    <x:row r="37" ht="69" customHeight="1">
      <x:c r="A37" s="9" t="n">
        <x:v>33</x:v>
      </x:c>
      <x:c r="B37" s="9" t="str">
        <x:v>纪录片出品方</x:v>
      </x:c>
      <x:c r="C37" s="9" t="str">
        <x:v>Bettane Desseauve — documentary playlists only</x:v>
      </x:c>
      <x:c r="D37" s="9" t="str">
        <x:v>法国／香槟</x:v>
      </x:c>
      <x:c r="E37" s="9" t="str">
        <x:v>Telmont、Philipponnat、Bollinger 纪录系列</x:v>
      </x:c>
      <x:c r="F37" s="9" t="str">
        <x:v>[Documentaire] Champagne Telmont, au nom de la terre</x:v>
      </x:c>
      <x:c r="G37" s="11" t="str">
        <x:v>先看</x:v>
      </x:c>
      <x:c r="H37" s="9" t="str">
        <x:v>https://www.youtube.com/channel/UCzB6EwdqVfoxQeqrFHIK_2A</x:v>
      </x:c>
      <x:c r="I37" s="9" t="str">
        <x:v>https://www.youtube.com/playlist?list=PLVy9U87SEcbAgezocxa_bAj7TsDyWHc_3</x:v>
      </x:c>
      <x:c r="J37" s="9" t="str">
        <x:v>只选纪录片栏目；不选评论／评分节目。Telmont 系列实际上传者为 Bettane Desseauve。</x:v>
      </x:c>
      <x:c r="K37" s="9" t="str">
        <x:v>法语；字幕待核</x:v>
      </x:c>
      <x:c r="L37" s="13" t="str">
        <x:v>待选片</x:v>
      </x:c>
    </x:row>
    <x:row r="38" ht="69" customHeight="1">
      <x:c r="A38" s="10" t="n">
        <x:v>34</x:v>
      </x:c>
      <x:c r="B38" s="10" t="str">
        <x:v>纪录片出品方</x:v>
      </x:c>
      <x:c r="C38" s="10" t="str">
        <x:v>SOMM TV</x:v>
      </x:c>
      <x:c r="D38" s="10" t="str">
        <x:v>全球产区</x:v>
      </x:c>
      <x:c r="E38" s="10" t="str">
        <x:v>纪录片发现、公开预告和片段</x:v>
      </x:c>
      <x:c r="F38" s="10" t="str">
        <x:v>The Oldest Vine Trailer</x:v>
      </x:c>
      <x:c r="G38" s="12" t="str">
        <x:v>备选</x:v>
      </x:c>
      <x:c r="H38" s="10" t="str">
        <x:v>https://www.youtube.com/sommtv</x:v>
      </x:c>
      <x:c r="I38" s="10" t="str">
        <x:v>https://watch.sommtv.com/the-oldest-vine-collection/videos/the-oldest-vine-trailer</x:v>
      </x:c>
      <x:c r="J38" s="10" t="str">
        <x:v>YouTube 公开内容含预告／片段；完整主要片库通常付费，不能当免费整片库。</x:v>
      </x:c>
      <x:c r="K38" s="10" t="str">
        <x:v>英语；字幕待核</x:v>
      </x:c>
      <x:c r="L38" s="13" t="str">
        <x:v>待选片</x:v>
      </x:c>
    </x:row>
    <x:row r="39" ht="69" customHeight="1">
      <x:c r="A39" s="9" t="n">
        <x:v>35</x:v>
      </x:c>
      <x:c r="B39" s="9" t="str">
        <x:v>纪录片出品方</x:v>
      </x:c>
      <x:c r="C39" s="9" t="str">
        <x:v>WineMasters TV</x:v>
      </x:c>
      <x:c r="D39" s="9" t="str">
        <x:v>全球产区</x:v>
      </x:c>
      <x:c r="E39" s="9" t="str">
        <x:v>产区与生产者纪录系列</x:v>
      </x:c>
      <x:c r="F39" s="9" t="str">
        <x:v>WineMasters | Season 1: France</x:v>
      </x:c>
      <x:c r="G39" s="11" t="str">
        <x:v>备选</x:v>
      </x:c>
      <x:c r="H39" s="9" t="str">
        <x:v>https://www.youtube.com/channel/UCl_tO1ltL9CrMMb94TUAxtQ</x:v>
      </x:c>
      <x:c r="I39" s="9" t="str">
        <x:v>https://www.youtube.com/playlist?list=PLTLnoieUN1m2O1xD4QxEKG4jFt1vcAR1y</x:v>
      </x:c>
      <x:c r="J39" s="9" t="str">
        <x:v>France 第一季入口为预告／预览合集；完整系列通常在付费平台。</x:v>
      </x:c>
      <x:c r="K39" s="9" t="str">
        <x:v>英语；字幕待核</x:v>
      </x:c>
      <x:c r="L39" s="13" t="str">
        <x:v>待选片</x:v>
      </x:c>
    </x:row>
    <x:row r="40" ht="69" customHeight="1">
      <x:c r="A40" s="10" t="n">
        <x:v>36</x:v>
      </x:c>
      <x:c r="B40" s="10" t="str">
        <x:v>酒庄现场与访谈</x:v>
      </x:c>
      <x:c r="C40" s="10" t="str">
        <x:v>Ridge Vineyards</x:v>
      </x:c>
      <x:c r="D40" s="10" t="str">
        <x:v>美国／加州</x:v>
      </x:c>
      <x:c r="E40" s="10" t="str">
        <x:v>采收、酿造、Monte Bello 等葡萄园影片</x:v>
      </x:c>
      <x:c r="F40" s="10" t="str">
        <x:v>Harvest at Ridge Vineyards</x:v>
      </x:c>
      <x:c r="G40" s="12" t="str">
        <x:v>先看</x:v>
      </x:c>
      <x:c r="H40" s="10" t="str">
        <x:v>https://www.youtube.com/user/RidgeVineyards</x:v>
      </x:c>
      <x:c r="I40" s="10" t="str">
        <x:v>https://www.youtube.com/playlist?list=PL46K2XfnYcC-wI0oQ800K6jMM6KVh-Vxm</x:v>
      </x:c>
      <x:c r="J40" s="10" t="str">
        <x:v>优先原产地与生产过程；跳过新酒发布广告。</x:v>
      </x:c>
      <x:c r="K40" s="10" t="str">
        <x:v>英语；字幕待核</x:v>
      </x:c>
      <x:c r="L40" s="13" t="str">
        <x:v>待选片</x:v>
      </x:c>
    </x:row>
    <x:row r="41" ht="69" customHeight="1">
      <x:c r="A41" s="9" t="n">
        <x:v>37</x:v>
      </x:c>
      <x:c r="B41" s="9" t="str">
        <x:v>酒庄现场与访谈</x:v>
      </x:c>
      <x:c r="C41" s="9" t="str">
        <x:v>Tablas Creek</x:v>
      </x:c>
      <x:c r="D41" s="9" t="str">
        <x:v>美国／Paso Robles</x:v>
      </x:c>
      <x:c r="E41" s="9" t="str">
        <x:v>田间嫁接、葡萄园管理与酒窖操作</x:v>
      </x:c>
      <x:c r="F41" s="9" t="str">
        <x:v>Field Grafting Viognier at Tablas Creek Vineyard</x:v>
      </x:c>
      <x:c r="G41" s="11" t="str">
        <x:v>先看</x:v>
      </x:c>
      <x:c r="H41" s="9" t="str">
        <x:v>https://www.youtube.com/channel/UCSPXQp1vkpt6H8SySuEynTQ</x:v>
      </x:c>
      <x:c r="I41" s="9" t="str">
        <x:v>https://www.youtube.com/channel/UCSPXQp1vkpt6H8SySuEynTQ/videos</x:v>
      </x:c>
      <x:c r="J41" s="9" t="str">
        <x:v>嫁接样片标题在频道目录已核实；单条 watch 链接待定位。</x:v>
      </x:c>
      <x:c r="K41" s="9" t="str">
        <x:v>英语；字幕待核</x:v>
      </x:c>
      <x:c r="L41" s="13" t="str">
        <x:v>待选片</x:v>
      </x:c>
    </x:row>
    <x:row r="42" ht="69" customHeight="1">
      <x:c r="A42" s="10" t="n">
        <x:v>38</x:v>
      </x:c>
      <x:c r="B42" s="10" t="str">
        <x:v>酒庄现场与访谈</x:v>
      </x:c>
      <x:c r="C42" s="10" t="str">
        <x:v>Château Palmer</x:v>
      </x:c>
      <x:c r="D42" s="10" t="str">
        <x:v>法国／Margaux</x:v>
      </x:c>
      <x:c r="E42" s="10" t="str">
        <x:v>酒庄与年份短片、葡萄园实践</x:v>
      </x:c>
      <x:c r="F42" s="10" t="str">
        <x:v>CHÂTEAU PALMER — including 2023, Time Always Tells and 2022, A New Chapter</x:v>
      </x:c>
      <x:c r="G42" s="12" t="str">
        <x:v>常规</x:v>
      </x:c>
      <x:c r="H42" s="10" t="str">
        <x:v>https://www.youtube.com/channel/UCpZ04xeTCxVyOSRDi93GY9w</x:v>
      </x:c>
      <x:c r="I42" s="10" t="str">
        <x:v>https://www.youtube.com/playlist?list=PLMuFGeslI2Mky0lp4EENFfTtjPTetB5kN</x:v>
      </x:c>
      <x:c r="J42" s="10" t="str">
        <x:v>保留酒庄来源；排除爵士乐与艺术活动内容。</x:v>
      </x:c>
      <x:c r="K42" s="10" t="str">
        <x:v>英语／法语；字幕待核</x:v>
      </x:c>
      <x:c r="L42" s="13" t="str">
        <x:v>待选片</x:v>
      </x:c>
    </x:row>
    <x:row r="43" ht="69" customHeight="1">
      <x:c r="A43" s="9" t="n">
        <x:v>39</x:v>
      </x:c>
      <x:c r="B43" s="9" t="str">
        <x:v>酒庄现场与访谈</x:v>
      </x:c>
      <x:c r="C43" s="9" t="str">
        <x:v>Champagne Bollinger</x:v>
      </x:c>
      <x:c r="D43" s="9" t="str">
        <x:v>法国／香槟</x:v>
      </x:c>
      <x:c r="E43" s="9" t="str">
        <x:v>酿酒团队谈陈年、除渣与制作决策</x:v>
      </x:c>
      <x:c r="F43" s="9" t="str">
        <x:v>Bold perspectives on Bollinger R.D. 2008 - Episode 1</x:v>
      </x:c>
      <x:c r="G43" s="11" t="str">
        <x:v>常规</x:v>
      </x:c>
      <x:c r="H43" s="9" t="str">
        <x:v>https://www.youtube.com/channel/UCQfv_AU-87Xgv3dgoncR3gQ</x:v>
      </x:c>
      <x:c r="I43" s="9" t="str">
        <x:v>https://www.youtube.com/watch?v=8YPTOrSnLeQ</x:v>
      </x:c>
      <x:c r="J43" s="9" t="str">
        <x:v>Bold perspectives 系列为酒庄自身技术视角。</x:v>
      </x:c>
      <x:c r="K43" s="9" t="str">
        <x:v>英语／法语；字幕待核</x:v>
      </x:c>
      <x:c r="L43" s="13" t="str">
        <x:v>待选片</x:v>
      </x:c>
    </x:row>
    <x:row r="44" ht="69" customHeight="1">
      <x:c r="A44" s="10" t="n">
        <x:v>40</x:v>
      </x:c>
      <x:c r="B44" s="10" t="str">
        <x:v>酒庄现场与访谈</x:v>
      </x:c>
      <x:c r="C44" s="10" t="str">
        <x:v>Champagne Louis Roederer</x:v>
      </x:c>
      <x:c r="D44" s="10" t="str">
        <x:v>法国／香槟</x:v>
      </x:c>
      <x:c r="E44" s="10" t="str">
        <x:v>葡萄园与自然主题短片</x:v>
      </x:c>
      <x:c r="F44" s="10" t="str">
        <x:v>A choreography between Man &amp; Nature</x:v>
      </x:c>
      <x:c r="G44" s="12" t="str">
        <x:v>常规</x:v>
      </x:c>
      <x:c r="H44" s="10" t="str">
        <x:v>https://www.youtube.com/user/louisroedererloeuvre</x:v>
      </x:c>
      <x:c r="I44" s="10" t="str">
        <x:v>https://www.youtube.com/watch?v=VbRTvC3bHMo</x:v>
      </x:c>
      <x:c r="J44" s="10" t="str">
        <x:v>先确认有实质生产信息；纯品牌影像不收录。</x:v>
      </x:c>
      <x:c r="K44" s="10" t="str">
        <x:v>英语／法语；字幕待核</x:v>
      </x:c>
      <x:c r="L44" s="13" t="str">
        <x:v>待选片</x:v>
      </x:c>
    </x:row>
    <x:row r="45" ht="69" customHeight="1">
      <x:c r="A45" s="9" t="n">
        <x:v>41</x:v>
      </x:c>
      <x:c r="B45" s="9" t="str">
        <x:v>酒庄现场与访谈</x:v>
      </x:c>
      <x:c r="C45" s="9" t="str">
        <x:v>Catena Malbec — Catena Zapata</x:v>
      </x:c>
      <x:c r="D45" s="9" t="str">
        <x:v>阿根廷／Mendoza</x:v>
      </x:c>
      <x:c r="E45" s="9" t="str">
        <x:v>家族、Malbec 与葡萄园历史影片</x:v>
      </x:c>
      <x:c r="F45" s="9" t="str">
        <x:v>The Catena Family, since 1902, 120 years in love with Malbec</x:v>
      </x:c>
      <x:c r="G45" s="11" t="str">
        <x:v>常规</x:v>
      </x:c>
      <x:c r="H45" s="9" t="str">
        <x:v>https://www.youtube.com/channel/UCokshNEkgL8-cJJlmcVLL-g</x:v>
      </x:c>
      <x:c r="I45" s="9" t="str">
        <x:v>https://www.youtube.com/watch?v=SasyAtBWA1o</x:v>
      </x:c>
      <x:c r="J45" s="9" t="str">
        <x:v>样片为酒庄历史短片，不能当学术研究讲座。</x:v>
      </x:c>
      <x:c r="K45" s="9" t="str">
        <x:v>英语／西班牙语；字幕待核</x:v>
      </x:c>
      <x:c r="L45" s="13" t="str">
        <x:v>待选片</x:v>
      </x:c>
    </x:row>
    <x:row r="46" ht="69" customHeight="1">
      <x:c r="A46" s="10" t="n">
        <x:v>42</x:v>
      </x:c>
      <x:c r="B46" s="10" t="str">
        <x:v>酒庄现场与访谈</x:v>
      </x:c>
      <x:c r="C46" s="10" t="str">
        <x:v>Symington Family Estates</x:v>
      </x:c>
      <x:c r="D46" s="10" t="str">
        <x:v>葡萄牙／Douro</x:v>
      </x:c>
      <x:c r="E46" s="10" t="str">
        <x:v>酒庄、葡萄园、酿造与生产者介绍</x:v>
      </x:c>
      <x:c r="F46" s="10" t="str">
        <x:v>Introducing Adega do Ataíde</x:v>
      </x:c>
      <x:c r="G46" s="12" t="str">
        <x:v>常规</x:v>
      </x:c>
      <x:c r="H46" s="10" t="str">
        <x:v>https://www.youtube.com/channel/UCHbyKC8sMFx430ayll2TQWg</x:v>
      </x:c>
      <x:c r="I46" s="10" t="str">
        <x:v>https://www.youtube.com/playlist?list=PLeMTacVFJO2foXA67dw4xjZYLFGrS3A7s</x:v>
      </x:c>
      <x:c r="J46" s="10" t="str">
        <x:v>优先生产过程和地区信息。</x:v>
      </x:c>
      <x:c r="K46" s="10" t="str">
        <x:v>英语／葡萄牙语；字幕待核</x:v>
      </x:c>
      <x:c r="L46" s="13" t="str">
        <x:v>待选片</x:v>
      </x:c>
    </x:row>
    <x:row r="47" ht="69" customHeight="1">
      <x:c r="A47" s="9" t="n">
        <x:v>43</x:v>
      </x:c>
      <x:c r="B47" s="9" t="str">
        <x:v>酒庄现场与访谈</x:v>
      </x:c>
      <x:c r="C47" s="9" t="str">
        <x:v>Maison M. CHAPOUTIER</x:v>
      </x:c>
      <x:c r="D47" s="9" t="str">
        <x:v>法国／罗讷河谷</x:v>
      </x:c>
      <x:c r="E47" s="9" t="str">
        <x:v>La vinification 酿造解释、采收现场</x:v>
      </x:c>
      <x:c r="F47" s="9" t="str">
        <x:v>La vinification</x:v>
      </x:c>
      <x:c r="G47" s="11" t="str">
        <x:v>常规</x:v>
      </x:c>
      <x:c r="H47" s="9" t="str">
        <x:v>https://www.youtube.com/@maisonm.chapoutier3103</x:v>
      </x:c>
      <x:c r="I47" s="9" t="str">
        <x:v>https://www.youtube.com/playlist?list=PLQEf0BTqypSAc7TH8l13qwmcCu8dR3PGo</x:v>
      </x:c>
      <x:c r="J47" s="9" t="str">
        <x:v>由生产者解释其做法；以内容而非单品宣传决定收录。</x:v>
      </x:c>
      <x:c r="K47" s="9" t="str">
        <x:v>法语；字幕待核</x:v>
      </x:c>
      <x:c r="L47" s="13" t="str">
        <x:v>待选片</x:v>
      </x:c>
    </x:row>
    <x:row r="48" ht="69" customHeight="1">
      <x:c r="A48" s="10" t="n">
        <x:v>44</x:v>
      </x:c>
      <x:c r="B48" s="10" t="str">
        <x:v>酒庄现场与访谈</x:v>
      </x:c>
      <x:c r="C48" s="10" t="str">
        <x:v>Domaine Zind-Humbrecht</x:v>
      </x:c>
      <x:c r="D48" s="10" t="str">
        <x:v>法国／阿尔萨斯</x:v>
      </x:c>
      <x:c r="E48" s="10" t="str">
        <x:v>酒庄与风土介绍</x:v>
      </x:c>
      <x:c r="F48" s="10" t="str">
        <x:v>Domaine Zind-Humbrecht Presentation (English)</x:v>
      </x:c>
      <x:c r="G48" s="12" t="str">
        <x:v>补充</x:v>
      </x:c>
      <x:c r="H48" s="10" t="str">
        <x:v>https://www.youtube.com/@domainezind-humbrecht1594</x:v>
      </x:c>
      <x:c r="I48" s="10" t="str">
        <x:v>https://www.youtube.com/watch?v=mdGJovByZ_I</x:v>
      </x:c>
      <x:c r="J48" s="10" t="str">
        <x:v>资料量较小；保留精选介绍，不能当大型纪录片库。</x:v>
      </x:c>
      <x:c r="K48" s="10" t="str">
        <x:v>英语／法语；字幕待核</x:v>
      </x:c>
      <x:c r="L48" s="13" t="str">
        <x:v>待选片</x:v>
      </x:c>
    </x:row>
    <x:row r="49" ht="69" customHeight="1">
      <x:c r="A49" s="9" t="n">
        <x:v>45</x:v>
      </x:c>
      <x:c r="B49" s="9" t="str">
        <x:v>酒庄现场与访谈</x:v>
      </x:c>
      <x:c r="C49" s="9" t="str">
        <x:v>Château Margaux</x:v>
      </x:c>
      <x:c r="D49" s="9" t="str">
        <x:v>法国／Margaux</x:v>
      </x:c>
      <x:c r="E49" s="9" t="str">
        <x:v>酒庄历史、葡萄园与制作短片</x:v>
      </x:c>
      <x:c r="F49" s="9" t="str">
        <x:v>Château Margaux, 500 years of history and « savoir-faire » dedicated to a great wine</x:v>
      </x:c>
      <x:c r="G49" s="11" t="str">
        <x:v>常规</x:v>
      </x:c>
      <x:c r="H49" s="9" t="str">
        <x:v>https://www.youtube.com/channel/UC7F8SpxwgYPZQhEk_Mpqdjw</x:v>
      </x:c>
      <x:c r="I49" s="9" t="str">
        <x:v>https://www.youtube.com/watch?v=s33Awn2n4A4</x:v>
      </x:c>
      <x:c r="J49" s="9" t="str">
        <x:v>样片为酒庄制作的历史影片，保留出品者身份。</x:v>
      </x:c>
      <x:c r="K49" s="9" t="str">
        <x:v>英语／法语；字幕待核</x:v>
      </x:c>
      <x:c r="L49" s="13" t="str">
        <x:v>待选片</x:v>
      </x:c>
    </x:row>
    <x:row r="50" ht="69" customHeight="1">
      <x:c r="A50" s="10" t="n">
        <x:v>46</x:v>
      </x:c>
      <x:c r="B50" s="10" t="str">
        <x:v>酒庄现场与访谈</x:v>
      </x:c>
      <x:c r="C50" s="10" t="str">
        <x:v>Domaine Clarence Dillon</x:v>
      </x:c>
      <x:c r="D50" s="10" t="str">
        <x:v>法国／波尔多</x:v>
      </x:c>
      <x:c r="E50" s="10" t="str">
        <x:v>Haut-Brion 酒庄与年份技术介绍</x:v>
      </x:c>
      <x:c r="F50" s="10" t="str">
        <x:v>Discover Château Haut-Brion</x:v>
      </x:c>
      <x:c r="G50" s="12" t="str">
        <x:v>常规</x:v>
      </x:c>
      <x:c r="H50" s="10" t="str">
        <x:v>https://www.youtube.com/user/ClarenceDillon</x:v>
      </x:c>
      <x:c r="I50" s="10" t="str">
        <x:v>https://www.youtube.com/user/ClarenceDillon/videos</x:v>
      </x:c>
      <x:c r="J50" s="10" t="str">
        <x:v>代表标题在频道目录核实；单条 watch 链接待定位。</x:v>
      </x:c>
      <x:c r="K50" s="10" t="str">
        <x:v>英语／法语；字幕待核</x:v>
      </x:c>
      <x:c r="L50" s="13" t="str">
        <x:v>待选片</x:v>
      </x:c>
    </x:row>
    <x:row r="51" ht="69" customHeight="1">
      <x:c r="A51" s="9" t="n">
        <x:v>47</x:v>
      </x:c>
      <x:c r="B51" s="9" t="str">
        <x:v>酒庄现场与访谈</x:v>
      </x:c>
      <x:c r="C51" s="9" t="str">
        <x:v>Marchesi Antinori</x:v>
      </x:c>
      <x:c r="D51" s="9" t="str">
        <x:v>意大利／托斯卡纳</x:v>
      </x:c>
      <x:c r="E51" s="9" t="str">
        <x:v>家族与酒庄故事、产地与生产者解释</x:v>
      </x:c>
      <x:c r="F51" s="9" t="str">
        <x:v>La storia di Matarocchio | The story of Matarocchio</x:v>
      </x:c>
      <x:c r="G51" s="11" t="str">
        <x:v>常规</x:v>
      </x:c>
      <x:c r="H51" s="9" t="str">
        <x:v>https://www.youtube.com/channel/UCEykkya-fBXJz5Vcn4th7zg</x:v>
      </x:c>
      <x:c r="I51" s="9" t="str">
        <x:v>https://www.youtube.com/@MarchesiAntinori/videos</x:v>
      </x:c>
      <x:c r="J51" s="9" t="str">
        <x:v>Matarocchio 标题见频道目录；纯产品广告不收录。</x:v>
      </x:c>
      <x:c r="K51" s="9" t="str">
        <x:v>英语／意大利语；字幕待核</x:v>
      </x:c>
      <x:c r="L51" s="13" t="str">
        <x:v>待选片</x:v>
      </x:c>
    </x:row>
    <x:row r="52" ht="69" customHeight="1">
      <x:c r="A52" s="10" t="n">
        <x:v>48</x:v>
      </x:c>
      <x:c r="B52" s="10" t="str">
        <x:v>酒庄现场与访谈</x:v>
      </x:c>
      <x:c r="C52" s="10" t="str">
        <x:v>Taylor’s Port</x:v>
      </x:c>
      <x:c r="D52" s="10" t="str">
        <x:v>葡萄牙／Douro</x:v>
      </x:c>
      <x:c r="E52" s="10" t="str">
        <x:v>波特酒生产与酒窖工艺</x:v>
      </x:c>
      <x:c r="F52" s="10" t="str">
        <x:v>Making Taylor’s Port Wine</x:v>
      </x:c>
      <x:c r="G52" s="12" t="str">
        <x:v>先看</x:v>
      </x:c>
      <x:c r="H52" s="10" t="str">
        <x:v>https://www.youtube.com/channel/UCs-s9ygHxibNoCED-SsvT7g</x:v>
      </x:c>
      <x:c r="I52" s="10" t="str">
        <x:v>https://www.youtube.com/watch?v=rcTUWQovdCE</x:v>
      </x:c>
      <x:c r="J52" s="10" t="str">
        <x:v>Making Taylor’s Port Wine 为制作工艺样片。</x:v>
      </x:c>
      <x:c r="K52" s="10" t="str">
        <x:v>英语／葡萄牙语；字幕待核</x:v>
      </x:c>
      <x:c r="L52" s="13" t="str">
        <x:v>待选片</x:v>
      </x:c>
    </x:row>
    <x:row r="53" ht="69" customHeight="1">
      <x:c r="A53" s="9" t="n">
        <x:v>49</x:v>
      </x:c>
      <x:c r="B53" s="9" t="str">
        <x:v>酒庄现场与访谈</x:v>
      </x:c>
      <x:c r="C53" s="9" t="str">
        <x:v>Jackson Family Wines</x:v>
      </x:c>
      <x:c r="D53" s="9" t="str">
        <x:v>美国／多产区</x:v>
      </x:c>
      <x:c r="E53" s="9" t="str">
        <x:v>葡萄园耕作、土壤与管理实践</x:v>
      </x:c>
      <x:c r="F53" s="9" t="str">
        <x:v>Regenerative Farming: How Jackson Family Wines is protecting the land</x:v>
      </x:c>
      <x:c r="G53" s="11" t="str">
        <x:v>常规</x:v>
      </x:c>
      <x:c r="H53" s="9" t="str">
        <x:v>https://www.youtube.com/channel/UCx4gmCgtTK1Bc4z8vVRH89g</x:v>
      </x:c>
      <x:c r="I53" s="9" t="str">
        <x:v>https://www.youtube.com/watch?v=vXp9lcE3IBE</x:v>
      </x:c>
      <x:c r="J53" s="9" t="str">
        <x:v>区分现场操作与公司对自身可持续性的宣传结论。</x:v>
      </x:c>
      <x:c r="K53" s="9" t="str">
        <x:v>英语；字幕待核</x:v>
      </x:c>
      <x:c r="L53" s="13" t="str">
        <x:v>待选片</x:v>
      </x:c>
    </x:row>
    <x:row r="54" ht="69" customHeight="1">
      <x:c r="A54" s="10" t="n">
        <x:v>50</x:v>
      </x:c>
      <x:c r="B54" s="10" t="str">
        <x:v>酒庄现场与访谈</x:v>
      </x:c>
      <x:c r="C54" s="10" t="str">
        <x:v>Silver Oak</x:v>
      </x:c>
      <x:c r="D54" s="10" t="str">
        <x:v>美国／Napa、Alexander Valley</x:v>
      </x:c>
      <x:c r="E54" s="10" t="str">
        <x:v>产地、酒庄与生产者短片</x:v>
      </x:c>
      <x:c r="F54" s="10" t="str">
        <x:v>Discover Silver Oak | Napa &amp; Alexander Valley Cabernet Sauvignon</x:v>
      </x:c>
      <x:c r="G54" s="12" t="str">
        <x:v>补充</x:v>
      </x:c>
      <x:c r="H54" s="10" t="str">
        <x:v>https://www.youtube.com/c/Silveroak</x:v>
      </x:c>
      <x:c r="I54" s="10" t="str">
        <x:v>https://www.youtube.com/watch?v=sun2icCZXVQ</x:v>
      </x:c>
      <x:c r="J54" s="10" t="str">
        <x:v>精选有生产信息的内容；品牌形象片不自动入选。</x:v>
      </x:c>
      <x:c r="K54" s="10" t="str">
        <x:v>英语；字幕待核</x:v>
      </x:c>
      <x:c r="L54" s="13" t="str">
        <x:v>待选片</x:v>
      </x:c>
    </x:row>
    <x:row r="55" ht="69" customHeight="1">
      <x:c r="A55" s="18" t="n">
        <x:v>51</x:v>
      </x:c>
      <x:c r="B55" s="18" t="str">
        <x:v>产区组织</x:v>
      </x:c>
      <x:c r="C55" s="17" t="str">
        <x:v>Consorzio del Vino Brunello di Montalcino</x:v>
      </x:c>
      <x:c r="D55" s="17" t="str">
        <x:v>意大利｜蒙塔奇诺</x:v>
      </x:c>
      <x:c r="E55" s="17" t="str">
        <x:v>产区景观、自然条件、生产者与葡萄酒历史纪录短片。</x:v>
      </x:c>
      <x:c r="F55" s="17" t="str">
        <x:v>The Miracle of Montalcino — 第2集（自然环境；中文说明据官网）</x:v>
      </x:c>
      <x:c r="G55" s="19" t="str">
        <x:v>先看</x:v>
      </x:c>
      <x:c r="H55" s="20" t="str">
        <x:v>https://www.youtube.com/user/brunello1888/videos</x:v>
      </x:c>
      <x:c r="I55" s="20" t="str">
        <x:v>https://www.youtube.com/watch?v=-S32_Vgnr1E</x:v>
      </x:c>
      <x:c r="J55" s="17" t="str">
        <x:v>优先 The Miracle of Montalcino 六集系列中的自然环境、种植者、木材与酿酒主题；不将活动花絮、奖项和宣传广告自动纳入。</x:v>
      </x:c>
      <x:c r="K55" s="17" t="str">
        <x:v>英语系列；字幕以单片为准</x:v>
      </x:c>
      <x:c r="L55" s="21" t="str">
        <x:v>待选片</x:v>
      </x:c>
    </x:row>
    <x:row r="56" ht="69" customHeight="1">
      <x:c r="A56" s="26" t="n">
        <x:v>52</x:v>
      </x:c>
      <x:c r="B56" s="26" t="str">
        <x:v>产区组织</x:v>
      </x:c>
      <x:c r="C56" s="25" t="str">
        <x:v>Chianti Classico</x:v>
      </x:c>
      <x:c r="D56" s="25" t="str">
        <x:v>意大利｜经典基安蒂</x:v>
      </x:c>
      <x:c r="E56" s="25" t="str">
        <x:v>产区历史、地理与葡萄园影像；正式产区课程另行筛选。</x:v>
      </x:c>
      <x:c r="F56" s="25" t="str">
        <x:v>The First Territory of Wine（官网产区影片入口名称）</x:v>
      </x:c>
      <x:c r="G56" s="27" t="str">
        <x:v>补充</x:v>
      </x:c>
      <x:c r="H56" s="28" t="str">
        <x:v>https://www.youtube.com/user/vinochianticlassico</x:v>
      </x:c>
      <x:c r="I56" s="28" t="str">
        <x:v>https://www.youtube.com/watch?v=w-vkSbgwxgM</x:v>
      </x:c>
      <x:c r="J56" s="25" t="str">
        <x:v>保留产区影片及有地理、历史和生产者知识的课程；品牌庆典和单纯推广短片不作为学习主片。</x:v>
      </x:c>
      <x:c r="K56" s="25" t="str">
        <x:v>意大利语／英语版本；本片字幕待确认</x:v>
      </x:c>
      <x:c r="L56" s="21" t="str">
        <x:v>待选片</x:v>
      </x:c>
    </x:row>
    <x:row r="57" ht="69" customHeight="1">
      <x:c r="A57" s="18" t="n">
        <x:v>53</x:v>
      </x:c>
      <x:c r="B57" s="18" t="str">
        <x:v>产区组织</x:v>
      </x:c>
      <x:c r="C57" s="17" t="str">
        <x:v>Franciacorta</x:v>
      </x:c>
      <x:c r="D57" s="17" t="str">
        <x:v>意大利｜弗朗齐亚科尔塔</x:v>
      </x:c>
      <x:c r="E57" s="17" t="str">
        <x:v>传统法起泡酒产区历史、葡萄种植与当地生产者访谈。</x:v>
      </x:c>
      <x:c r="F57" s="17" t="str">
        <x:v>Wine Actually - La storia della Franciacorta</x:v>
      </x:c>
      <x:c r="G57" s="19" t="str">
        <x:v>先看</x:v>
      </x:c>
      <x:c r="H57" s="20" t="str">
        <x:v>https://www.youtube.com/user/InFranciacorta</x:v>
      </x:c>
      <x:c r="I57" s="20" t="str">
        <x:v>https://www.youtube.com/watch?v=oQW6xVYwoUQ</x:v>
      </x:c>
      <x:c r="J57" s="17" t="str">
        <x:v>先筛 Wine Actually 的产区历史、种植与生产者知识段落；主持人存在不等于排除，但必须有实质信息。生活方式、美食联名和商业活动短片不自动收录。</x:v>
      </x:c>
      <x:c r="K57" s="17" t="str">
        <x:v>意大利语；字幕待逐片确认</x:v>
      </x:c>
      <x:c r="L57" s="21" t="str">
        <x:v>待选片</x:v>
      </x:c>
    </x:row>
    <x:row r="58" ht="69" customHeight="1">
      <x:c r="A58" s="26" t="n">
        <x:v>54</x:v>
      </x:c>
      <x:c r="B58" s="26" t="str">
        <x:v>产区组织</x:v>
      </x:c>
      <x:c r="C58" s="25" t="str">
        <x:v>Alto Adige Wines</x:v>
      </x:c>
      <x:c r="D58" s="25" t="str">
        <x:v>意大利｜上阿迪杰／南蒂罗尔</x:v>
      </x:c>
      <x:c r="E58" s="25" t="str">
        <x:v>产区质量转型史、老一代酿酒师与生产者纪录访谈。</x:v>
      </x:c>
      <x:c r="F58" s="25" t="str">
        <x:v>Pioneers of Winemaking / Pioneers of Alto Adige Wine</x:v>
      </x:c>
      <x:c r="G58" s="27" t="str">
        <x:v>先看</x:v>
      </x:c>
      <x:c r="H58" s="28" t="str">
        <x:v>https://www.youtube.com/channel/UCnni21SlvsXEWE4_R0Q1p5g</x:v>
      </x:c>
      <x:c r="I58" s="28" t="str">
        <x:v>https://www.youtube.com/playlist?list=PLzt7FxL1dzPwZztl6aO0T37dz81NCNrxE</x:v>
      </x:c>
      <x:c r="J58" s="25" t="str">
        <x:v>优先 Hans Terzer、Willi Stürz、Elena Walch 等 Pioneers 人物片，围绕品种选择、质量转型和产区实践；不扩展为整号推荐。</x:v>
      </x:c>
      <x:c r="K58" s="25" t="str">
        <x:v>德语／意大利语；英语版本或字幕逐片确认</x:v>
      </x:c>
      <x:c r="L58" s="21" t="str">
        <x:v>待选片</x:v>
      </x:c>
    </x:row>
    <x:row r="59" ht="69" customHeight="1">
      <x:c r="A59" s="18" t="n">
        <x:v>55</x:v>
      </x:c>
      <x:c r="B59" s="18" t="str">
        <x:v>产区组织</x:v>
      </x:c>
      <x:c r="C59" s="17" t="str">
        <x:v>il Soave Vino</x:v>
      </x:c>
      <x:c r="D59" s="17" t="str">
        <x:v>意大利｜索阿韦</x:v>
      </x:c>
      <x:c r="E59" s="17" t="str">
        <x:v>UGA 地理单元、葡萄园地貌与当地生产者的系列影像。</x:v>
      </x:c>
      <x:c r="F59" s="17" t="str">
        <x:v>Soave Terroir</x:v>
      </x:c>
      <x:c r="G59" s="19" t="str">
        <x:v>先看</x:v>
      </x:c>
      <x:c r="H59" s="20" t="str">
        <x:v>https://www.youtube.com/user/ilSoave</x:v>
      </x:c>
      <x:c r="I59" s="20" t="str">
        <x:v>https://www.ilsoave.com/en/news-it/soave-terroir-the-videos/</x:v>
      </x:c>
      <x:c r="J59" s="17" t="str">
        <x:v>优先 Soave Terroir 中围绕产区地貌、葡萄种植者和 UGA 的正片；预告片仅用于判断影像风格，不当成长片素材。</x:v>
      </x:c>
      <x:c r="K59" s="17" t="str">
        <x:v>意大利语；英语资料与字幕依单片</x:v>
      </x:c>
      <x:c r="L59" s="21" t="str">
        <x:v>待选片</x:v>
      </x:c>
    </x:row>
    <x:row r="60" ht="69" customHeight="1">
      <x:c r="A60" s="26" t="n">
        <x:v>56</x:v>
      </x:c>
      <x:c r="B60" s="26" t="str">
        <x:v>产区组织</x:v>
      </x:c>
      <x:c r="C60" s="25" t="str">
        <x:v>Wines of Greece</x:v>
      </x:c>
      <x:c r="D60" s="25" t="str">
        <x:v>希腊</x:v>
      </x:c>
      <x:c r="E60" s="25" t="str">
        <x:v>葡萄酒历史、本土品种、微气候与产区知识影像。</x:v>
      </x:c>
      <x:c r="F60" s="25" t="str">
        <x:v>The history of greek wine</x:v>
      </x:c>
      <x:c r="G60" s="27" t="str">
        <x:v>先看</x:v>
      </x:c>
      <x:c r="H60" s="28" t="str">
        <x:v>https://www.youtube.com/user/newwinesofgreece</x:v>
      </x:c>
      <x:c r="I60" s="28" t="str">
        <x:v>https://www.youtube.com/watch?v=uXxRS54SQn8</x:v>
      </x:c>
      <x:c r="J60" s="25" t="str">
        <x:v>先筛历史、微气候和本土品种介绍，再扩展到产区实景；纯风味推荐、餐酒搭配与活动广告不直接收录。</x:v>
      </x:c>
      <x:c r="K60" s="25" t="str">
        <x:v>英语；其他上传含希腊语</x:v>
      </x:c>
      <x:c r="L60" s="21" t="str">
        <x:v>待选片</x:v>
      </x:c>
    </x:row>
    <x:row r="61" ht="69" customHeight="1">
      <x:c r="A61" s="18" t="n">
        <x:v>57</x:v>
      </x:c>
      <x:c r="B61" s="18" t="str">
        <x:v>产区组织</x:v>
      </x:c>
      <x:c r="C61" s="17" t="str">
        <x:v>Wines of Provence / Vins de Provence（CIVP）</x:v>
      </x:c>
      <x:c r="D61" s="17" t="str">
        <x:v>法国｜普罗旺斯</x:v>
      </x:c>
      <x:c r="E61" s="17" t="str">
        <x:v>桃红葡萄酒生产者圆桌、酿造与环境实践。</x:v>
      </x:c>
      <x:c r="F61" s="17" t="str">
        <x:v>Provence Iconic Panel（Wines of Provence × Wine Enthusiast）</x:v>
      </x:c>
      <x:c r="G61" s="19" t="str">
        <x:v>补充</x:v>
      </x:c>
      <x:c r="H61" s="20" t="str">
        <x:v>https://www.youtube.com/winesofprovence</x:v>
      </x:c>
      <x:c r="I61" s="20" t="str">
        <x:v>https://www.youtube.com/watch?v=vr_JCbENpvc</x:v>
      </x:c>
      <x:c r="J61" s="17" t="str">
        <x:v>仅选有生产方法、产区知识和环境实践内容的专家或生产者圆桌段落；市场营销、菜谱、生活方式内容跳过。同一发布方的法语频道不另计。</x:v>
      </x:c>
      <x:c r="K61" s="17" t="str">
        <x:v>英语</x:v>
      </x:c>
      <x:c r="L61" s="21" t="str">
        <x:v>待选片</x:v>
      </x:c>
    </x:row>
    <x:row r="62" ht="69" customHeight="1">
      <x:c r="A62" s="26" t="n">
        <x:v>58</x:v>
      </x:c>
      <x:c r="B62" s="26" t="str">
        <x:v>产区组织</x:v>
      </x:c>
      <x:c r="C62" s="25" t="str">
        <x:v>Vins du Beaujolais</x:v>
      </x:c>
      <x:c r="D62" s="25" t="str">
        <x:v>法国｜博若莱</x:v>
      </x:c>
      <x:c r="E62" s="25" t="str">
        <x:v>葡萄园土壤、地质调查与各村庄地块差异。</x:v>
      </x:c>
      <x:c r="F62" s="25" t="str">
        <x:v>The Beaujolais Vineyard, a Mosaic of Soils</x:v>
      </x:c>
      <x:c r="G62" s="27" t="str">
        <x:v>先看</x:v>
      </x:c>
      <x:c r="H62" s="28" t="str">
        <x:v>https://www.youtube.com/user/VinsduBeaujolais</x:v>
      </x:c>
      <x:c r="I62" s="28" t="str">
        <x:v>https://www.beaujolais.com/en/a-world-for-every-beaujolais/pur-terroir-by-beaujolais/the-beaujolais-vineyard-a-mosaic-of-soils/</x:v>
      </x:c>
      <x:c r="J62" s="25" t="str">
        <x:v>优先土壤研究与各 Cru 地块系列；以地质人员、研究资料和葡萄园实景为筛选依据。节庆、美食旅游和品牌短广告不自动纳入。</x:v>
      </x:c>
      <x:c r="K62" s="25" t="str">
        <x:v>法语；英文版标题和资料可见</x:v>
      </x:c>
      <x:c r="L62" s="21" t="str">
        <x:v>待选片</x:v>
      </x:c>
    </x:row>
    <x:row r="63" ht="69" customHeight="1">
      <x:c r="A63" s="18" t="n">
        <x:v>59</x:v>
      </x:c>
      <x:c r="B63" s="18" t="str">
        <x:v>产区组织</x:v>
      </x:c>
      <x:c r="C63" s="17" t="str">
        <x:v>Vins du Languedoc（CIVL）</x:v>
      </x:c>
      <x:c r="D63" s="17" t="str">
        <x:v>法国｜朗格多克</x:v>
      </x:c>
      <x:c r="E63" s="17" t="str">
        <x:v>葡萄栽培、采收原料变化与技术适应的正式讲座档案。</x:v>
      </x:c>
      <x:c r="F63" s="17" t="str">
        <x:v>Entretien Vigne et Vin du Languedoc-Roussillon 2018</x:v>
      </x:c>
      <x:c r="G63" s="19" t="str">
        <x:v>先看</x:v>
      </x:c>
      <x:c r="H63" s="20" t="str">
        <x:v>https://www.youtube.com/@vinsdulanguedoc/playlists</x:v>
      </x:c>
      <x:c r="I63" s="20" t="str">
        <x:v>https://www.youtube.com/playlist?list=PLQnHnBk4yUk8E8nKGqt3nDvlcGMvgU5ws</x:v>
      </x:c>
      <x:c r="J63" s="17" t="str">
        <x:v>可从 Jacques Rousseau 关于采收葡萄组成变化及葡萄园应对的报告入手；只选科学和生产技术报告，排除商业活动与一般推广。</x:v>
      </x:c>
      <x:c r="K63" s="17" t="str">
        <x:v>法语</x:v>
      </x:c>
      <x:c r="L63" s="21" t="str">
        <x:v>待选片</x:v>
      </x:c>
    </x:row>
    <x:row r="64" ht="69" customHeight="1">
      <x:c r="A64" s="26" t="n">
        <x:v>60</x:v>
      </x:c>
      <x:c r="B64" s="26" t="str">
        <x:v>产区组织</x:v>
      </x:c>
      <x:c r="C64" s="25" t="str">
        <x:v>D.O. Rías Baixas</x:v>
      </x:c>
      <x:c r="D64" s="25" t="str">
        <x:v>西班牙｜下海湾</x:v>
      </x:c>
      <x:c r="E64" s="25" t="str">
        <x:v>酿酒师访谈、葡萄品种、酒泥培养、木桶与陈年。</x:v>
      </x:c>
      <x:c r="F64" s="25" t="str">
        <x:v>Historias con Denominación de Origen: Enología</x:v>
      </x:c>
      <x:c r="G64" s="27" t="str">
        <x:v>先看</x:v>
      </x:c>
      <x:c r="H64" s="28" t="str">
        <x:v>https://www.youtube.com/user/VinosDORiasBaixas</x:v>
      </x:c>
      <x:c r="I64" s="28" t="str">
        <x:v>https://www.youtube.com/watch?v=tL1pHHMO2sI</x:v>
      </x:c>
      <x:c r="J64" s="25" t="str">
        <x:v>先看 Enología 这一集及同系列的生产与可持续主题；选择技术人员与酿酒师的生产解释，避开明星聊天、菜谱和消费推广。</x:v>
      </x:c>
      <x:c r="K64" s="25" t="str">
        <x:v>西班牙语</x:v>
      </x:c>
      <x:c r="L64" s="21" t="str">
        <x:v>待选片</x:v>
      </x:c>
    </x:row>
    <x:row r="65" ht="69" customHeight="1">
      <x:c r="A65" s="18" t="n">
        <x:v>61</x:v>
      </x:c>
      <x:c r="B65" s="18" t="str">
        <x:v>产区组织</x:v>
      </x:c>
      <x:c r="C65" s="17" t="str">
        <x:v>Ribera del Duero</x:v>
      </x:c>
      <x:c r="D65" s="17" t="str">
        <x:v>西班牙｜杜埃罗河岸</x:v>
      </x:c>
      <x:c r="E65" s="17" t="str">
        <x:v>酒庄与生产者系列访谈，可筛历史、葡萄园和酿造实践。</x:v>
      </x:c>
      <x:c r="F65" s="17" t="str">
        <x:v>Cita con Ribera</x:v>
      </x:c>
      <x:c r="G65" s="19" t="str">
        <x:v>补充</x:v>
      </x:c>
      <x:c r="H65" s="20" t="str">
        <x:v>https://www.youtube.com/c/RiberadelDuero</x:v>
      </x:c>
      <x:c r="I65" s="20" t="str">
        <x:v>https://www.youtube.com/playlist?list=PLUbcAzE2-gx5CdNlEQ5lcjQwxdr-9cK58</x:v>
      </x:c>
      <x:c r="J65" s="17" t="str">
        <x:v>从 Vega Sicilia、Protos、Briego 等酒庄访谈中挑选葡萄园与酿造知识段落；该系列也有品牌推广目的，不能整批照单收录。</x:v>
      </x:c>
      <x:c r="K65" s="17" t="str">
        <x:v>西班牙语</x:v>
      </x:c>
      <x:c r="L65" s="21" t="str">
        <x:v>待选片</x:v>
      </x:c>
    </x:row>
    <x:row r="66" ht="69" customHeight="1">
      <x:c r="A66" s="26" t="n">
        <x:v>62</x:v>
      </x:c>
      <x:c r="B66" s="26" t="str">
        <x:v>产区组织</x:v>
      </x:c>
      <x:c r="C66" s="25" t="str">
        <x:v>Wines of British Columbia</x:v>
      </x:c>
      <x:c r="D66" s="25" t="str">
        <x:v>加拿大｜不列颠哥伦比亚</x:v>
      </x:c>
      <x:c r="E66" s="25" t="str">
        <x:v>各酒庄葡萄园与季节性生产、起泡酒、调配及贵腐案例。</x:v>
      </x:c>
      <x:c r="F66" s="25" t="str">
        <x:v>Featured BC Wineries &amp; Vineyards</x:v>
      </x:c>
      <x:c r="G66" s="27" t="str">
        <x:v>先看</x:v>
      </x:c>
      <x:c r="H66" s="28" t="str">
        <x:v>https://www.youtube.com/c/WinesofBritishColumbia</x:v>
      </x:c>
      <x:c r="I66" s="28" t="str">
        <x:v>https://www.youtube.com/playlist?list=PLdyOOu2Hkvu-8uaGfTNLpnd0QO1H6ebZK</x:v>
      </x:c>
      <x:c r="J66" s="25" t="str">
        <x:v>优先 Liquidity Wines 的调配、50th Parallel 的贵腐雷司令、Township 7 的起泡酒等有具体生产过程的题目；旅游广告、餐酒搭配与泛品牌介绍跳过。</x:v>
      </x:c>
      <x:c r="K66" s="25" t="str">
        <x:v>英语</x:v>
      </x:c>
      <x:c r="L66" s="21" t="str">
        <x:v>待选片</x:v>
      </x:c>
    </x:row>
    <x:row r="67" ht="69" customHeight="1">
      <x:c r="A67" s="18" t="n">
        <x:v>63</x:v>
      </x:c>
      <x:c r="B67" s="18" t="str">
        <x:v>产区组织</x:v>
      </x:c>
      <x:c r="C67" s="17" t="str">
        <x:v>Vinhos do Alentejo</x:v>
      </x:c>
      <x:c r="D67" s="17" t="str">
        <x:v>葡萄牙｜阿连特茹</x:v>
      </x:c>
      <x:c r="E67" s="17" t="str">
        <x:v>Talha 陶罐酿酒传统、工艺与地方葡萄酒文化。</x:v>
      </x:c>
      <x:c r="F67" s="17" t="str">
        <x:v>Vinho de Talha - um vinho singular | Vinhos do Alentejo</x:v>
      </x:c>
      <x:c r="G67" s="19" t="str">
        <x:v>先看</x:v>
      </x:c>
      <x:c r="H67" s="20" t="str">
        <x:v>https://www.youtube.com/user/VinhosdoAlentejo</x:v>
      </x:c>
      <x:c r="I67" s="20" t="str">
        <x:v>https://www.youtube.com/watch?v=yX00vKbJzMI</x:v>
      </x:c>
      <x:c r="J67" s="17" t="str">
        <x:v>先筛陶罐制作与酿造过程、传承者和酒庄现场内容；泛产区广告和单纯产品推荐不纳入。</x:v>
      </x:c>
      <x:c r="K67" s="17" t="str">
        <x:v>葡萄牙语；英文项目资料可辅助理解，视频字幕待确认</x:v>
      </x:c>
      <x:c r="L67" s="21" t="str">
        <x:v>待选片</x:v>
      </x:c>
    </x:row>
    <x:row r="68" ht="69" customHeight="1">
      <x:c r="A68" s="26" t="n">
        <x:v>64</x:v>
      </x:c>
      <x:c r="B68" s="26" t="str">
        <x:v>产区组织</x:v>
      </x:c>
      <x:c r="C68" s="25" t="str">
        <x:v>Swiss Wine Promotion</x:v>
      </x:c>
      <x:c r="D68" s="25" t="str">
        <x:v>瑞士</x:v>
      </x:c>
      <x:c r="E68" s="25" t="str">
        <x:v>瑞士主要产区、品种与葡萄酒结构的正式入门课程。</x:v>
      </x:c>
      <x:c r="F68" s="25" t="str">
        <x:v>General Introduction to Swiss Wines | Swiss Wine UK</x:v>
      </x:c>
      <x:c r="G68" s="27" t="str">
        <x:v>补充</x:v>
      </x:c>
      <x:c r="H68" s="28" t="str">
        <x:v>https://www.youtube.com/channel/UCnQ7Dy-yq9uhYjllq63ZHmw</x:v>
      </x:c>
      <x:c r="I68" s="28" t="str">
        <x:v>https://www.youtube.com/watch?v=KT60yKApUuE</x:v>
      </x:c>
      <x:c r="J68" s="25" t="str">
        <x:v>只选正式国家／产区知识课和有具体知识的生产者内容；不把播客封面音频、晚宴宣传或品牌短广告当作实景影片。</x:v>
      </x:c>
      <x:c r="K68" s="25" t="str">
        <x:v>英语样片；频道另含法语、德语等</x:v>
      </x:c>
      <x:c r="L68" s="21" t="str">
        <x:v>待选片</x:v>
      </x:c>
    </x:row>
    <x:row r="69" ht="69" customHeight="1">
      <x:c r="A69" s="18" t="n">
        <x:v>65</x:v>
      </x:c>
      <x:c r="B69" s="18" t="str">
        <x:v>产区组织</x:v>
      </x:c>
      <x:c r="C69" s="17" t="str">
        <x:v>Grandes Pagos de España</x:v>
      </x:c>
      <x:c r="D69" s="17" t="str">
        <x:v>西班牙｜多个产区</x:v>
      </x:c>
      <x:c r="E69" s="17" t="str">
        <x:v>葡萄园地质、土壤、气候变化与生长周期的技术课及生产者报告。</x:v>
      </x:c>
      <x:c r="F69" s="17" t="str">
        <x:v>MASTERCLASS PILL Ribera del Duero</x:v>
      </x:c>
      <x:c r="G69" s="19" t="str">
        <x:v>先看</x:v>
      </x:c>
      <x:c r="H69" s="20" t="str">
        <x:v>https://www.youtube.com/@grandespagosdeespana4422/videos</x:v>
      </x:c>
      <x:c r="I69" s="20" t="str">
        <x:v>https://grandespagos.com/en/home-en/</x:v>
      </x:c>
      <x:c r="J69" s="17" t="str">
        <x:v>优先 Antonio Moral（Aalto 酿酒师）的 Ribera del Duero 地质与气候课，以及技术会议和年份生长状况报告；销售、品牌奖项与品鉴推广跳过。</x:v>
      </x:c>
      <x:c r="K69" s="17" t="str">
        <x:v>西班牙语；频道部分英语</x:v>
      </x:c>
      <x:c r="L69" s="21" t="str">
        <x:v>待选片</x:v>
      </x:c>
    </x:row>
    <x:row r="70" ht="69" customHeight="1">
      <x:c r="A70" s="26" t="n">
        <x:v>66</x:v>
      </x:c>
      <x:c r="B70" s="26" t="str">
        <x:v>产区组织</x:v>
      </x:c>
      <x:c r="C70" s="25" t="str">
        <x:v>Lodi Wine / Lodi Winegrape Commission</x:v>
      </x:c>
      <x:c r="D70" s="25" t="str">
        <x:v>美国｜Lodi</x:v>
      </x:c>
      <x:c r="E70" s="25" t="str">
        <x:v>种植者家族、老藤、葡萄园管理与产区历史的实拍系列。</x:v>
      </x:c>
      <x:c r="F70" s="25" t="str">
        <x:v>A Rising Tide — Episodes 1–8</x:v>
      </x:c>
      <x:c r="G70" s="27" t="str">
        <x:v>先看</x:v>
      </x:c>
      <x:c r="H70" s="28" t="str">
        <x:v>https://www.youtube.com/@LodiWine</x:v>
      </x:c>
      <x:c r="I70" s="28" t="str">
        <x:v>https://www.lodiwine.com/videos/</x:v>
      </x:c>
      <x:c r="J70" s="25" t="str">
        <x:v>从八集种植者系列进入，优先 The Gnarly Brothers、Made on the Vine 等田间与生产者内容；跳过配餐、节庆及形象广告。</x:v>
      </x:c>
      <x:c r="K70" s="25" t="str">
        <x:v>英语</x:v>
      </x:c>
      <x:c r="L70" s="21" t="str">
        <x:v>待选片</x:v>
      </x:c>
    </x:row>
    <x:row r="71" ht="69" customHeight="1">
      <x:c r="A71" s="18" t="n">
        <x:v>67</x:v>
      </x:c>
      <x:c r="B71" s="18" t="str">
        <x:v>纪录片与访谈</x:v>
      </x:c>
      <x:c r="C71" s="17" t="str">
        <x:v>V is for Vino Wine Show</x:v>
      </x:c>
      <x:c r="D71" s="17" t="str">
        <x:v>全球产区</x:v>
      </x:c>
      <x:c r="E71" s="17" t="str">
        <x:v>按产区拍摄的长篇游历节目；葡萄园、酒庄、生产者访谈与历史。</x:v>
      </x:c>
      <x:c r="F71" s="17" t="str">
        <x:v>Bourgogne — Season 6, Episode 1</x:v>
      </x:c>
      <x:c r="G71" s="19" t="str">
        <x:v>常规</x:v>
      </x:c>
      <x:c r="H71" s="20" t="str">
        <x:v>https://www.youtube.com/@visforvino</x:v>
      </x:c>
      <x:c r="I71" s="20" t="str">
        <x:v>https://www.youtube.com/watch?v=mK7R8hNxY_0</x:v>
      </x:c>
      <x:c r="J71" s="17" t="str">
        <x:v>只选产区完整集的葡萄园、酿造、历史和生产者访谈段落；旅行、餐厅与主持人品饮内容占有一定比例，按段落筛选。</x:v>
      </x:c>
      <x:c r="K71" s="17" t="str">
        <x:v>英语</x:v>
      </x:c>
      <x:c r="L71" s="21" t="str">
        <x:v>待选片</x:v>
      </x:c>
    </x:row>
    <x:row r="72" ht="69" customHeight="1">
      <x:c r="A72" s="26" t="n">
        <x:v>68</x:v>
      </x:c>
      <x:c r="B72" s="26" t="str">
        <x:v>纪录片与访谈</x:v>
      </x:c>
      <x:c r="C72" s="25" t="str">
        <x:v>Ask a Winemaker</x:v>
      </x:c>
      <x:c r="D72" s="25" t="str">
        <x:v>全球｜样片为美国</x:v>
      </x:c>
      <x:c r="E72" s="25" t="str">
        <x:v>酿酒师与种植者问答、采收与分选等工艺现场。</x:v>
      </x:c>
      <x:c r="F72" s="25" t="str">
        <x:v>Fred Scherrer explains Chardonnay grape selection（官方活动页说明）</x:v>
      </x:c>
      <x:c r="G72" s="27" t="str">
        <x:v>常规</x:v>
      </x:c>
      <x:c r="H72" s="28" t="str">
        <x:v>https://www.youtube.com/channel/UCGOOlETKfCnu0AV5fLhNXVA</x:v>
      </x:c>
      <x:c r="I72" s="28" t="str">
        <x:v>https://www.youtube.com/watch?v=uG6uyj2cxwA</x:v>
      </x:c>
      <x:c r="J72" s="25" t="str">
        <x:v>优先田间、酒窖操作与生产者技术访谈；不选主持人购买建议或销售培训。访谈观点保留讲者与酒庄归属。</x:v>
      </x:c>
      <x:c r="K72" s="25" t="str">
        <x:v>英语</x:v>
      </x:c>
      <x:c r="L72" s="21" t="str">
        <x:v>待选片</x:v>
      </x:c>
    </x:row>
    <x:row r="73" ht="69" customHeight="1">
      <x:c r="A73" s="18" t="n">
        <x:v>69</x:v>
      </x:c>
      <x:c r="B73" s="18" t="str">
        <x:v>酒庄与生产者</x:v>
      </x:c>
      <x:c r="C73" s="17" t="str">
        <x:v>Bedrock Wine Co.</x:v>
      </x:c>
      <x:c r="D73" s="17" t="str">
        <x:v>美国加州</x:v>
      </x:c>
      <x:c r="E73" s="17" t="str">
        <x:v>老藤葡萄园、种植者访谈、土壤与再生农业、酿造过程</x:v>
      </x:c>
      <x:c r="F73" s="17" t="str">
        <x:v>Farming（官网专题页所嵌影片）</x:v>
      </x:c>
      <x:c r="G73" s="19" t="str">
        <x:v>先看</x:v>
      </x:c>
      <x:c r="H73" s="20" t="str">
        <x:v>https://www.youtube.com/channel/UCXDyvmavnTYZMiLJ8pSJOVw</x:v>
      </x:c>
      <x:c r="I73" s="20" t="str">
        <x:v>https://www.youtube.com/watch?v=St8VdhzQ6eE</x:v>
      </x:c>
      <x:c r="J73" s="17" t="str">
        <x:v>优先选种植、老藤和酿造实拍。官网明确将这批视频与另设的 Wine Conversations 播客分开；不要把播客当作田野纪录片。</x:v>
      </x:c>
      <x:c r="K73" s="17" t="str">
        <x:v>英语</x:v>
      </x:c>
      <x:c r="L73" s="21" t="str">
        <x:v>待选片</x:v>
      </x:c>
    </x:row>
    <x:row r="74" ht="69" customHeight="1">
      <x:c r="A74" s="26" t="n">
        <x:v>70</x:v>
      </x:c>
      <x:c r="B74" s="26" t="str">
        <x:v>酒庄与生产者</x:v>
      </x:c>
      <x:c r="C74" s="25" t="str">
        <x:v>Bodegas RODA</x:v>
      </x:c>
      <x:c r="D74" s="25" t="str">
        <x:v>西班牙里奥哈</x:v>
      </x:c>
      <x:c r="E74" s="25" t="str">
        <x:v>葡萄栽培分集教程：整形、干旱、葡萄园季节工作和果实入厂</x:v>
      </x:c>
      <x:c r="F74" s="25" t="str">
        <x:v>Viticultura 2020</x:v>
      </x:c>
      <x:c r="G74" s="27" t="str">
        <x:v>先看</x:v>
      </x:c>
      <x:c r="H74" s="28" t="str">
        <x:v>https://www.youtube.com/BODEGASRODA</x:v>
      </x:c>
      <x:c r="I74" s="28" t="str">
        <x:v>https://www.youtube.com/playlist?list=PLh5pK_oiBQdtULxYDqodYNYALHS9OG67h</x:v>
      </x:c>
      <x:c r="J74" s="25" t="str">
        <x:v>只选 Viticultura 田间知识系列；频道另有大量产品品鉴，跳过。已见第2集 El vaso y la sequía 等具体栽培内容，适合按知识点编目。</x:v>
      </x:c>
      <x:c r="K74" s="25" t="str">
        <x:v>西班牙语</x:v>
      </x:c>
      <x:c r="L74" s="21" t="str">
        <x:v>待选片</x:v>
      </x:c>
    </x:row>
    <x:row r="75" ht="69" customHeight="1">
      <x:c r="A75" s="18" t="n">
        <x:v>71</x:v>
      </x:c>
      <x:c r="B75" s="18" t="str">
        <x:v>酒庄与生产者</x:v>
      </x:c>
      <x:c r="C75" s="17" t="str">
        <x:v>Bodegas Muga</x:v>
      </x:c>
      <x:c r="D75" s="17" t="str">
        <x:v>西班牙里奥哈</x:v>
      </x:c>
      <x:c r="E75" s="17" t="str">
        <x:v>橡木桶制作、桶板处理、传统酒窖工序</x:v>
      </x:c>
      <x:c r="F75" s="17" t="str">
        <x:v>Elaboración</x:v>
      </x:c>
      <x:c r="G75" s="19" t="str">
        <x:v>先看</x:v>
      </x:c>
      <x:c r="H75" s="20" t="str">
        <x:v>https://www.youtube.com/user/bodegasmuga</x:v>
      </x:c>
      <x:c r="I75" s="20" t="str">
        <x:v>https://www.youtube.com/playlist?list=PL9X28RD5xyrND-tjrnJ2q_xH6y_lzVJbv</x:v>
      </x:c>
      <x:c r="J75" s="17" t="str">
        <x:v>重点选制桶及生产工序。片单混有电视台报道和庄内视频，登记每条原始制作方；跳过单瓶推介和活动广告。</x:v>
      </x:c>
      <x:c r="K75" s="17" t="str">
        <x:v>西班牙语</x:v>
      </x:c>
      <x:c r="L75" s="21" t="str">
        <x:v>待选片</x:v>
      </x:c>
    </x:row>
    <x:row r="76" ht="69" customHeight="1">
      <x:c r="A76" s="26" t="n">
        <x:v>72</x:v>
      </x:c>
      <x:c r="B76" s="26" t="str">
        <x:v>酒庄与生产者</x:v>
      </x:c>
      <x:c r="C76" s="25" t="str">
        <x:v>Familia Torres</x:v>
      </x:c>
      <x:c r="D76" s="25" t="str">
        <x:v>西班牙加泰罗尼亚</x:v>
      </x:c>
      <x:c r="E76" s="25" t="str">
        <x:v>古老葡萄品种恢复、试验葡萄园、气候适应与生产者访谈</x:v>
      </x:c>
      <x:c r="F76" s="25" t="str">
        <x:v>Project and collection of Ancestral Varieties</x:v>
      </x:c>
      <x:c r="G76" s="27" t="str">
        <x:v>先看</x:v>
      </x:c>
      <x:c r="H76" s="28" t="str">
        <x:v>https://www.youtube.com/c/FamiliaTorres/videos</x:v>
      </x:c>
      <x:c r="I76" s="28" t="str">
        <x:v>https://www.youtube.com/watch?v=xsiLyiNqR9I</x:v>
      </x:c>
      <x:c r="J76" s="25" t="str">
        <x:v>优先品种恢复、栽培试验和农业研究项目。代表片由 Miguel 与 Mireia Torres Maczassek 介绍项目；排除一般酒款宣传。</x:v>
      </x:c>
      <x:c r="K76" s="25" t="str">
        <x:v>英语；频道另有西班牙语</x:v>
      </x:c>
      <x:c r="L76" s="21" t="str">
        <x:v>待选片</x:v>
      </x:c>
    </x:row>
    <x:row r="77" ht="69" customHeight="1">
      <x:c r="A77" s="18" t="n">
        <x:v>73</x:v>
      </x:c>
      <x:c r="B77" s="18" t="str">
        <x:v>酒庄与生产者</x:v>
      </x:c>
      <x:c r="C77" s="17" t="str">
        <x:v>Yalumba</x:v>
      </x:c>
      <x:c r="D77" s="17" t="str">
        <x:v>澳大利亚南澳巴罗萨</x:v>
      </x:c>
      <x:c r="E77" s="17" t="str">
        <x:v>制桶工艺、橡木弯曲与烘烤、酒庄生产过程</x:v>
      </x:c>
      <x:c r="F77" s="17" t="str">
        <x:v>Yalumba | Discover the Yalumba Cooperage with Shaun Gibson</x:v>
      </x:c>
      <x:c r="G77" s="19" t="str">
        <x:v>先看</x:v>
      </x:c>
      <x:c r="H77" s="20" t="str">
        <x:v>https://www.youtube.com/channel/UCZUPZE254oewTeVCIAql6FQ/videos</x:v>
      </x:c>
      <x:c r="I77" s="20" t="str">
        <x:v>https://www.youtube.com/watch?v=VbqCHm7P4Yg</x:v>
      </x:c>
      <x:c r="J77" s="17" t="str">
        <x:v>制桶师讲解是最有价值的入口；保留工具、工序和橡木处理段落。酒庄体验预订及酒款发布片不列入常规内容。</x:v>
      </x:c>
      <x:c r="K77" s="17" t="str">
        <x:v>英语</x:v>
      </x:c>
      <x:c r="L77" s="21" t="str">
        <x:v>待选片</x:v>
      </x:c>
    </x:row>
    <x:row r="78" ht="69" customHeight="1">
      <x:c r="A78" s="26" t="n">
        <x:v>74</x:v>
      </x:c>
      <x:c r="B78" s="26" t="str">
        <x:v>酒庄与生产者</x:v>
      </x:c>
      <x:c r="C78" s="25" t="str">
        <x:v>Jordan Vineyard &amp; Winery</x:v>
      </x:c>
      <x:c r="D78" s="25" t="str">
        <x:v>美国加州索诺玛</x:v>
      </x:c>
      <x:c r="E78" s="25" t="str">
        <x:v>酒庄历史、酿造人员与生产过程；只选 Winemaking 栏目</x:v>
      </x:c>
      <x:c r="F78" s="25" t="str">
        <x:v>Jordan Winery (1976-2016): Forty Years of Winemaking</x:v>
      </x:c>
      <x:c r="G78" s="27" t="str">
        <x:v>补充</x:v>
      </x:c>
      <x:c r="H78" s="28" t="str">
        <x:v>https://www.youtube.com/channel/UCZoGIbKkr05Z_13pLxmMlhA</x:v>
      </x:c>
      <x:c r="I78" s="28" t="str">
        <x:v>https://www.youtube.com/watch?v=EZdhyxg45xE</x:v>
      </x:c>
      <x:c r="J78" s="25" t="str">
        <x:v>先看历史与酿造主题；频道也有餐饮、旅游和生活内容，只保留有葡萄园或生产者证言的片段。代表片为酒庄自述历史片。</x:v>
      </x:c>
      <x:c r="K78" s="25" t="str">
        <x:v>英语</x:v>
      </x:c>
      <x:c r="L78" s="21" t="str">
        <x:v>待选片</x:v>
      </x:c>
    </x:row>
    <x:row r="79" ht="69" customHeight="1">
      <x:c r="A79" s="18" t="n">
        <x:v>75</x:v>
      </x:c>
      <x:c r="B79" s="18" t="str">
        <x:v>酒庄与生产者</x:v>
      </x:c>
      <x:c r="C79" s="17" t="str">
        <x:v>Donnafugata Wine</x:v>
      </x:c>
      <x:c r="D79" s="17" t="str">
        <x:v>意大利西西里、潘泰莱里亚</x:v>
      </x:c>
      <x:c r="E79" s="17" t="str">
        <x:v>岛屿葡萄栽培、低矮树形、梯田与帕赛托生产背景</x:v>
      </x:c>
      <x:c r="F79" s="17" t="str">
        <x:v>Discover Pantelleria - Donnafugata</x:v>
      </x:c>
      <x:c r="G79" s="19" t="str">
        <x:v>补充</x:v>
      </x:c>
      <x:c r="H79" s="20" t="str">
        <x:v>https://www.youtube.com/channel/UCRISCf_lcuJ_AfRn_ICE5Bw</x:v>
      </x:c>
      <x:c r="I79" s="20" t="str">
        <x:v>https://www.youtube.com/watch?v=dIkx95fFLzU</x:v>
      </x:c>
      <x:c r="J79" s="17" t="str">
        <x:v>只选潘泰莱里亚、埃特纳等产地和栽培实拍。代表片带品牌与 Ben Ryé 产品背景，作为专题素材补充，不当作中立的系统课程。</x:v>
      </x:c>
      <x:c r="K79" s="17" t="str">
        <x:v>英语；频道另有意大利语</x:v>
      </x:c>
      <x:c r="L79" s="21" t="str">
        <x:v>待选片</x:v>
      </x:c>
    </x:row>
    <x:row r="80" ht="69" customHeight="1">
      <x:c r="A80" s="26" t="n">
        <x:v>76</x:v>
      </x:c>
      <x:c r="B80" s="26" t="str">
        <x:v>酒庄与生产者</x:v>
      </x:c>
      <x:c r="C80" s="25" t="str">
        <x:v>Henschke Cellars</x:v>
      </x:c>
      <x:c r="D80" s="25" t="str">
        <x:v>澳大利亚南澳伊甸谷</x:v>
      </x:c>
      <x:c r="E80" s="25" t="str">
        <x:v>老藤单一园、季节条件、种植者经验</x:v>
      </x:c>
      <x:c r="F80" s="25" t="str">
        <x:v>2019 Hill of Grace: A Vintage Graced by The Nurturer（官网影片标签）</x:v>
      </x:c>
      <x:c r="G80" s="27" t="str">
        <x:v>补充</x:v>
      </x:c>
      <x:c r="H80" s="28" t="str">
        <x:v>https://www.youtube.com/channel/UCdb9kModiWHSZ987OpJM1cg</x:v>
      </x:c>
      <x:c r="I80" s="28" t="str">
        <x:v>https://www.youtube.com/watch?v=pMx1oVJqIb8</x:v>
      </x:c>
      <x:c r="J80" s="25" t="str">
        <x:v>选择 Prue Henschke 等人的葡萄园与年份工作讲述；酒款发布有商业背景，保留农业和生产部分即可。</x:v>
      </x:c>
      <x:c r="K80" s="25" t="str">
        <x:v>英语</x:v>
      </x:c>
      <x:c r="L80" s="21" t="str">
        <x:v>待选片</x:v>
      </x:c>
    </x:row>
    <x:row r="81" ht="69" customHeight="1">
      <x:c r="A81" s="18" t="n">
        <x:v>77</x:v>
      </x:c>
      <x:c r="B81" s="18" t="str">
        <x:v>酒庄与生产者</x:v>
      </x:c>
      <x:c r="C81" s="17" t="str">
        <x:v>Kanonkop Wine Estate</x:v>
      </x:c>
      <x:c r="D81" s="17" t="str">
        <x:v>南非斯泰伦博斯</x:v>
      </x:c>
      <x:c r="E81" s="17" t="str">
        <x:v>葡萄园、酒窖、皮诺塔吉生产与生产者故事</x:v>
      </x:c>
      <x:c r="F81" s="17" t="str">
        <x:v>Introduction to Kanonkop Wine Estate</x:v>
      </x:c>
      <x:c r="G81" s="19" t="str">
        <x:v>补充</x:v>
      </x:c>
      <x:c r="H81" s="20" t="str">
        <x:v>https://www.youtube.com/channel/UCptqJ5U1XkWcIFixEJB20Ag</x:v>
      </x:c>
      <x:c r="I81" s="20" t="str">
        <x:v>https://www.youtube.com/watch?v=dGXOKP7fu5U</x:v>
      </x:c>
      <x:c r="J81" s="17" t="str">
        <x:v>适合南非酒庄及生产方式专题。官网片库还有 The Pinotage Kings；先看生产实拍，再决定是否采用品牌历史叙述。</x:v>
      </x:c>
      <x:c r="K81" s="17" t="str">
        <x:v>英语</x:v>
      </x:c>
      <x:c r="L81" s="21" t="str">
        <x:v>待选片</x:v>
      </x:c>
    </x:row>
    <x:row r="82" ht="69" customHeight="1">
      <x:c r="A82" s="26" t="n">
        <x:v>78</x:v>
      </x:c>
      <x:c r="B82" s="26" t="str">
        <x:v>酒庄与生产者</x:v>
      </x:c>
      <x:c r="C82" s="25" t="str">
        <x:v>Nyetimber</x:v>
      </x:c>
      <x:c r="D82" s="25" t="str">
        <x:v>英国英格兰南部</x:v>
      </x:c>
      <x:c r="E82" s="25" t="str">
        <x:v>英国传统法起泡酒、四季葡萄园、采收团队访谈</x:v>
      </x:c>
      <x:c r="F82" s="25" t="str">
        <x:v>Nyetimber: A year in the life of England's finest sparkling wine</x:v>
      </x:c>
      <x:c r="G82" s="27" t="str">
        <x:v>补充</x:v>
      </x:c>
      <x:c r="H82" s="28" t="str">
        <x:v>https://www.youtube.com/nyetimberltd</x:v>
      </x:c>
      <x:c r="I82" s="28" t="str">
        <x:v>https://www.youtube.com/playlist?list=PLI_KNTtHdHOMoIXtym-IS0sDbgcGLPPxk</x:v>
      </x:c>
      <x:c r="J82" s="25" t="str">
        <x:v>选择葡萄园四季和 Harvest Interviews；跳过品牌联名、节庆和送礼广告。品牌影像较多，宜按主题少量使用。</x:v>
      </x:c>
      <x:c r="K82" s="25" t="str">
        <x:v>英语</x:v>
      </x:c>
      <x:c r="L82" s="21" t="str">
        <x:v>待选片</x:v>
      </x:c>
    </x:row>
    <x:row r="83" ht="69" customHeight="1">
      <x:c r="A83" s="18" t="n">
        <x:v>79</x:v>
      </x:c>
      <x:c r="B83" s="18" t="str">
        <x:v>酒庄与生产者</x:v>
      </x:c>
      <x:c r="C83" s="17" t="str">
        <x:v>RathfinnyEstate</x:v>
      </x:c>
      <x:c r="D83" s="17" t="str">
        <x:v>英国英格兰苏塞克斯</x:v>
      </x:c>
      <x:c r="E83" s="17" t="str">
        <x:v>传统法起泡酒生产、采收、葡萄园全年工作</x:v>
      </x:c>
      <x:c r="F83" s="17" t="str">
        <x:v>Rathfinny Harvest — A Sussex Company, Sussex Grapes, Picked by Sussex People（官网影片标签）</x:v>
      </x:c>
      <x:c r="G83" s="19" t="str">
        <x:v>补充</x:v>
      </x:c>
      <x:c r="H83" s="20" t="str">
        <x:v>https://www.youtube.com/user/RathfinnyEstate</x:v>
      </x:c>
      <x:c r="I83" s="20" t="str">
        <x:v>https://www.youtube.com/watch?v=QFexx70rIoo</x:v>
      </x:c>
      <x:c r="J83" s="17" t="str">
        <x:v>先选采收与生产工序；可继续找频道内 A Year on a Sussex Vineyard 及 Disgorging 2020。官网当前 Disgorging 链接指向 Vimeo，不能当作已经核实的 YouTube 单片。</x:v>
      </x:c>
      <x:c r="K83" s="17" t="str">
        <x:v>英语</x:v>
      </x:c>
      <x:c r="L83" s="21" t="str">
        <x:v>待选片</x:v>
      </x:c>
    </x:row>
    <x:row r="84" ht="69" customHeight="1">
      <x:c r="A84" s="26" t="n">
        <x:v>80</x:v>
      </x:c>
      <x:c r="B84" s="26" t="str">
        <x:v>酒庄与生产者</x:v>
      </x:c>
      <x:c r="C84" s="25" t="str">
        <x:v>Quinta do Crasto</x:v>
      </x:c>
      <x:c r="D84" s="25" t="str">
        <x:v>葡萄牙杜罗河谷</x:v>
      </x:c>
      <x:c r="E84" s="25" t="str">
        <x:v>杜罗采收、梯田葡萄园、生产现场与酒庄报道</x:v>
      </x:c>
      <x:c r="F84" s="25" t="str">
        <x:v>Vindimas / Harvest</x:v>
      </x:c>
      <x:c r="G84" s="27" t="str">
        <x:v>先看</x:v>
      </x:c>
      <x:c r="H84" s="28" t="str">
        <x:v>https://www.youtube.com/quintadocrasto</x:v>
      </x:c>
      <x:c r="I84" s="28" t="str">
        <x:v>https://www.youtube.com/playlist?list=PLJokm-G0895sg_4eveQvR9Y9lXA-EZJ06</x:v>
      </x:c>
      <x:c r="J84" s="25" t="str">
        <x:v>从采收片单和 Reportagens 现场报道选片，保留旧年份标签。片单有电视台报道，应逐条记录原制作方，避免与酒庄自己拍摄的片混为一谈。</x:v>
      </x:c>
      <x:c r="K84" s="25" t="str">
        <x:v>葡萄牙语；部分英语标题/版本</x:v>
      </x:c>
      <x:c r="L84" s="21" t="str">
        <x:v>待选片</x:v>
      </x:c>
    </x:row>
    <x:row r="85" ht="69" customHeight="1">
      <x:c r="A85" s="18" t="n">
        <x:v>81</x:v>
      </x:c>
      <x:c r="B85" s="18" t="str">
        <x:v>酒庄与生产者</x:v>
      </x:c>
      <x:c r="C85" s="17" t="str">
        <x:v>Château Pontet-Canet</x:v>
      </x:c>
      <x:c r="D85" s="17" t="str">
        <x:v>法国波尔多波亚克</x:v>
      </x:c>
      <x:c r="E85" s="17" t="str">
        <x:v>酒庄年份叙事、葡萄园与生产者原始表达</x:v>
      </x:c>
      <x:c r="F85" s="17" t="str">
        <x:v>The story of Château Pontet-Canet 2020</x:v>
      </x:c>
      <x:c r="G85" s="19" t="str">
        <x:v>补充</x:v>
      </x:c>
      <x:c r="H85" s="20" t="str">
        <x:v>https://www.youtube.com/channel/UCgUbS-97y3Eq93fiNjyP4UQ</x:v>
      </x:c>
      <x:c r="I85" s="20" t="str">
        <x:v>https://www.youtube.com/watch?v=UgiX2WJOWcE</x:v>
      </x:c>
      <x:c r="J85" s="17" t="str">
        <x:v>规模小，作为波亚克专题补充。代表片是约4分钟的酒庄年份短片；不要把它写成独立长纪录片或已验证的完整生物动力课程。</x:v>
      </x:c>
      <x:c r="K85" s="17" t="str">
        <x:v>英语；频道另有法语</x:v>
      </x:c>
      <x:c r="L85" s="21" t="str">
        <x:v>待选片</x:v>
      </x:c>
    </x:row>
    <x:row r="86" ht="69" customHeight="1">
      <x:c r="A86" s="26" t="n">
        <x:v>82</x:v>
      </x:c>
      <x:c r="B86" s="26" t="str">
        <x:v>教学与研究</x:v>
      </x:c>
      <x:c r="C86" s="25" t="str">
        <x:v>Brock University / CCOVI</x:v>
      </x:c>
      <x:c r="D86" s="25" t="str">
        <x:v>加拿大｜安大略</x:v>
      </x:c>
      <x:c r="E86" s="25" t="str">
        <x:v>冷凉产区葡萄栽培与酿酒科研讲座；酵母、病害、低酒精技术。</x:v>
      </x:c>
      <x:c r="F86" s="25" t="str">
        <x:v>2026 CCOVI Lecture Series — The Pursuit of Lower Alcohol: Strategies for the Future</x:v>
      </x:c>
      <x:c r="G86" s="27" t="str">
        <x:v>先看</x:v>
      </x:c>
      <x:c r="H86" s="28" t="str">
        <x:v>https://www.youtube.com/@BrockUniversity</x:v>
      </x:c>
      <x:c r="I86" s="28" t="str">
        <x:v>https://www.youtube.com/watch?v=Wad0sB5dohM</x:v>
      </x:c>
      <x:c r="J86" s="25" t="str">
        <x:v>大学综合频道，只选 CCOVI 正式研究讲座；官网有按年份整理的讲义和录像。研究者出镜属于学术讲授，不归为个人酒评。</x:v>
      </x:c>
      <x:c r="K86" s="25" t="str">
        <x:v>英语</x:v>
      </x:c>
      <x:c r="L86" s="21" t="str">
        <x:v>待选片</x:v>
      </x:c>
    </x:row>
    <x:row r="87" ht="69" customHeight="1">
      <x:c r="A87" s="18" t="n">
        <x:v>83</x:v>
      </x:c>
      <x:c r="B87" s="18" t="str">
        <x:v>教学与研究</x:v>
      </x:c>
      <x:c r="C87" s="17" t="str">
        <x:v>IVES International Viticulture and Enology Society</x:v>
      </x:c>
      <x:c r="D87" s="17" t="str">
        <x:v>国际｜法国</x:v>
      </x:c>
      <x:c r="E87" s="17" t="str">
        <x:v>葡萄与葡萄酒科研成果访谈；气候变暖、覆盖作物、葡萄树病害及酿造化学。</x:v>
      </x:c>
      <x:c r="F87" s="17" t="str">
        <x:v>Interview Gregory Gambetta — Global warming and wine quality: are we close to the tipping point?</x:v>
      </x:c>
      <x:c r="G87" s="19" t="str">
        <x:v>先看</x:v>
      </x:c>
      <x:c r="H87" s="20" t="str">
        <x:v>https://www.youtube.com/@internationalviticulturenology</x:v>
      </x:c>
      <x:c r="I87" s="20" t="str">
        <x:v>https://www.youtube.com/watch?v=1k9yoSiJl5g</x:v>
      </x:c>
      <x:c r="J87" s="17" t="str">
        <x:v>学术传播机构的研究者访谈库；可配合论文与技术评述整理学习专题。属于研究访谈，不能标成葡萄园实拍纪录片。</x:v>
      </x:c>
      <x:c r="K87" s="17" t="str">
        <x:v>英语；另有多语种内容</x:v>
      </x:c>
      <x:c r="L87" s="21" t="str">
        <x:v>待选片</x:v>
      </x:c>
    </x:row>
    <x:row r="88" ht="69" customHeight="1">
      <x:c r="A88" s="26" t="n">
        <x:v>84</x:v>
      </x:c>
      <x:c r="B88" s="26" t="str">
        <x:v>教学与研究</x:v>
      </x:c>
      <x:c r="C88" s="25" t="str">
        <x:v>Washington Wine / Washington State Wine Commission</x:v>
      </x:c>
      <x:c r="D88" s="25" t="str">
        <x:v>美国｜华盛顿州</x:v>
      </x:c>
      <x:c r="E88" s="25" t="str">
        <x:v>WAVE / WAVEx 科研推广：烟熏影响、灌溉、病害、发酵、葡萄酒 pH 与单宁。</x:v>
      </x:c>
      <x:c r="F88" s="25" t="str">
        <x:v>Status of Smoke Impact in Washington State — Dr. Tom Collins, WSU</x:v>
      </x:c>
      <x:c r="G88" s="27" t="str">
        <x:v>先看</x:v>
      </x:c>
      <x:c r="H88" s="28" t="str">
        <x:v>https://www.youtube.com/@washingtonwine</x:v>
      </x:c>
      <x:c r="I88" s="28" t="str">
        <x:v>https://www.youtube.com/watch?v=0IZM9YdDdnM</x:v>
      </x:c>
      <x:c r="J88" s="25" t="str">
        <x:v>只选 WAVE / WAVEx 学术报告与技术研讨；避开旅游宣传、品酒活动与品牌短广告。该委员会账号与既有 WSU CAHNRS 账号不同，记录科研活动的独立发布入口。</x:v>
      </x:c>
      <x:c r="K88" s="25" t="str">
        <x:v>英语</x:v>
      </x:c>
      <x:c r="L88" s="21" t="str">
        <x:v>待选片</x:v>
      </x:c>
    </x:row>
    <x:row r="89" ht="69" customHeight="1">
      <x:c r="A89" s="18" t="n">
        <x:v>85</x:v>
      </x:c>
      <x:c r="B89" s="18" t="str">
        <x:v>教学与研究</x:v>
      </x:c>
      <x:c r="C89" s="17" t="str">
        <x:v>Bragato Research Institute</x:v>
      </x:c>
      <x:c r="D89" s="17" t="str">
        <x:v>新西兰</x:v>
      </x:c>
      <x:c r="E89" s="17" t="str">
        <x:v>葡萄园覆盖作物、研究酒庄与栽培试验的技术分享。</x:v>
      </x:c>
      <x:c r="F89" s="17" t="str">
        <x:v>Webinars — includes Exploring Cover Cropping in Vineyards</x:v>
      </x:c>
      <x:c r="G89" s="19" t="str">
        <x:v>先看</x:v>
      </x:c>
      <x:c r="H89" s="20" t="str">
        <x:v>https://www.youtube.com/@bragatoresearch</x:v>
      </x:c>
      <x:c r="I89" s="20" t="str">
        <x:v>https://www.youtube.com/playlist?list=PLhV0m91zKn12DDYjDeFMbHyjdLA10V2Hi</x:v>
      </x:c>
      <x:c r="J89" s="17" t="str">
        <x:v>New Zealand Winegrowers 旗下研究机构的独立科研频道；与旧表 New Zealand Wine 的产区推广入口区分。选科研 webinar、田间试验与技术解释，避开商业服务介绍。</x:v>
      </x:c>
      <x:c r="K89" s="17" t="str">
        <x:v>英语</x:v>
      </x:c>
      <x:c r="L89" s="21" t="str">
        <x:v>待选片</x:v>
      </x:c>
    </x:row>
    <x:row r="90" ht="69" customHeight="1">
      <x:c r="A90" s="26" t="n">
        <x:v>86</x:v>
      </x:c>
      <x:c r="B90" s="26" t="str">
        <x:v>教学与研究</x:v>
      </x:c>
      <x:c r="C90" s="25" t="str">
        <x:v>Cornell Cooperative Extension</x:v>
      </x:c>
      <x:c r="D90" s="25" t="str">
        <x:v>美国｜纽约及北部产区</x:v>
      </x:c>
      <x:c r="E90" s="25" t="str">
        <x:v>Northern Grapes 项目科研录影：冷凉产区葡萄、果穗光照、病害与栽培管理。</x:v>
      </x:c>
      <x:c r="F90" s="25" t="str">
        <x:v>Northern Grapes Project — includes Impact of fruit zone sunlight exposure on fruit composition of cold climate hybrid grapes</x:v>
      </x:c>
      <x:c r="G90" s="27" t="str">
        <x:v>先看</x:v>
      </x:c>
      <x:c r="H90" s="28" t="str">
        <x:v>https://www.youtube.com/c/CornellCooperativeExtension</x:v>
      </x:c>
      <x:c r="I90" s="28" t="str">
        <x:v>https://www.youtube.com/playlist?list=PLBTN_VCK49Blg-8DXD8juUDCjDiptvp9I</x:v>
      </x:c>
      <x:c r="J90" s="25" t="str">
        <x:v>综合农业推广频道，只收 Northern Grapes / 葡萄酒相关科研录影；不要把全部园艺视频加入。Cornell 其他新课有 Kaltura 入口，不能统称为 YouTube 视频。</x:v>
      </x:c>
      <x:c r="K90" s="25" t="str">
        <x:v>英语</x:v>
      </x:c>
      <x:c r="L90" s="21" t="str">
        <x:v>待选片</x:v>
      </x:c>
    </x:row>
    <x:row r="91" ht="69" customHeight="1">
      <x:c r="A91" s="18" t="n">
        <x:v>87</x:v>
      </x:c>
      <x:c r="B91" s="18" t="str">
        <x:v>教学与研究</x:v>
      </x:c>
      <x:c r="C91" s="17" t="str">
        <x:v>Penn State Extension</x:v>
      </x:c>
      <x:c r="D91" s="17" t="str">
        <x:v>美国｜宾夕法尼亚</x:v>
      </x:c>
      <x:c r="E91" s="17" t="str">
        <x:v>葡萄与葡萄酒农业推广教学；Lake Erie 葡萄研究中心、酿酒微生物。</x:v>
      </x:c>
      <x:c r="F91" s="17" t="str">
        <x:v>Lake Erie Regional Grape Research and Extension Center — includes What is Brettanomyces?</x:v>
      </x:c>
      <x:c r="G91" s="19" t="str">
        <x:v>常规</x:v>
      </x:c>
      <x:c r="H91" s="20" t="str">
        <x:v>https://www.youtube.com/c/PennStateExtension</x:v>
      </x:c>
      <x:c r="I91" s="20" t="str">
        <x:v>https://www.youtube.com/playlist?list=PL_bTWa1uOqMGFee36qNNHsHjrpvBemx5A</x:v>
      </x:c>
      <x:c r="J91" s="17" t="str">
        <x:v>大学农业推广综合频道，仅收葡萄研究中心和酿酒专题教学；不把农业杂项或 Between the Vines 音频播客当作葡萄酒纪录片。</x:v>
      </x:c>
      <x:c r="K91" s="17" t="str">
        <x:v>英语</x:v>
      </x:c>
      <x:c r="L91" s="21" t="str">
        <x:v>待选片</x:v>
      </x:c>
    </x:row>
    <x:row r="92" ht="69" customHeight="1">
      <x:c r="A92" s="26" t="n">
        <x:v>88</x:v>
      </x:c>
      <x:c r="B92" s="26" t="str">
        <x:v>教学与研究</x:v>
      </x:c>
      <x:c r="C92" s="25" t="str">
        <x:v>Grape Growers of Ontario</x:v>
      </x:c>
      <x:c r="D92" s="25" t="str">
        <x:v>加拿大｜安大略</x:v>
      </x:c>
      <x:c r="E92" s="25" t="str">
        <x:v>葡萄种植者协会的栽培技术分享；产量估算、病毒检测、灌溉与芽体存活。</x:v>
      </x:c>
      <x:c r="F92" s="25" t="str">
        <x:v>The importance of Crop Yield Estimation</x:v>
      </x:c>
      <x:c r="G92" s="27" t="str">
        <x:v>常规</x:v>
      </x:c>
      <x:c r="H92" s="28" t="str">
        <x:v>https://www.youtube.com/user/GrapeGrowersOntario</x:v>
      </x:c>
      <x:c r="I92" s="28" t="str">
        <x:v>https://www.youtube.com/watch?v=-ci3v_P7hhQ</x:v>
      </x:c>
      <x:c r="J92" s="25" t="str">
        <x:v>只选 Viticulture Webinar Series 与田间技术；官网说明该系列与 Brock / CCOVI 合作。两个发布账号只各计一次，同一合作视频进入素材库时另做视频级去重。</x:v>
      </x:c>
      <x:c r="K92" s="25" t="str">
        <x:v>英语</x:v>
      </x:c>
      <x:c r="L92" s="21" t="str">
        <x:v>待选片</x:v>
      </x:c>
    </x:row>
    <x:row r="93" ht="69" customHeight="1">
      <x:c r="A93" s="18" t="n">
        <x:v>89</x:v>
      </x:c>
      <x:c r="B93" s="18" t="str">
        <x:v>教学与研究</x:v>
      </x:c>
      <x:c r="C93" s="17" t="str">
        <x:v>Winemakers Research Exchange</x:v>
      </x:c>
      <x:c r="D93" s="17" t="str">
        <x:v>美国｜弗吉尼亚</x:v>
      </x:c>
      <x:c r="E93" s="17" t="str">
        <x:v>酒庄生产试验与结果讨论；苹果酸乳酸发酵、酸化、SO2、浸渍与陈酿。</x:v>
      </x:c>
      <x:c r="F93" s="17" t="str">
        <x:v>Tuesday, July 2, 2024: Winemaker Chat with Zach Pierce — malolactic co-inoculation</x:v>
      </x:c>
      <x:c r="G93" s="19" t="str">
        <x:v>先看</x:v>
      </x:c>
      <x:c r="H93" s="20" t="str">
        <x:v>https://www.youtube.com/@winemakersresearchexchange3274</x:v>
      </x:c>
      <x:c r="I93" s="20" t="str">
        <x:v>https://www.youtube.com/watch?v=tJV1Fp-pflU</x:v>
      </x:c>
      <x:c r="J93" s="17" t="str">
        <x:v>非营利酒庄研究合作组织，技术访谈可与同一实验的报告、化学和感官分析一起归档；只选有具体实验问题和方法的内容。</x:v>
      </x:c>
      <x:c r="K93" s="17" t="str">
        <x:v>英语</x:v>
      </x:c>
      <x:c r="L93" s="21" t="str">
        <x:v>待选片</x:v>
      </x:c>
    </x:row>
    <x:row r="94" ht="69" customHeight="1">
      <x:c r="A94" s="26" t="n">
        <x:v>90</x:v>
      </x:c>
      <x:c r="B94" s="26" t="str">
        <x:v>教学与研究</x:v>
      </x:c>
      <x:c r="C94" s="25" t="str">
        <x:v>Vineyard Team</x:v>
      </x:c>
      <x:c r="D94" s="25" t="str">
        <x:v>美国｜加利福尼亚</x:v>
      </x:c>
      <x:c r="E94" s="25" t="str">
        <x:v>可持续葡萄栽培的现场教学；滴灌维护、供水均匀度、管路冲洗与过滤器。</x:v>
      </x:c>
      <x:c r="F94" s="25" t="str">
        <x:v>Irrigation — includes Common Distribution Uniformity Problem: Emitters</x:v>
      </x:c>
      <x:c r="G94" s="27" t="str">
        <x:v>常规</x:v>
      </x:c>
      <x:c r="H94" s="28" t="str">
        <x:v>https://www.youtube.com/@vineyardteam5588</x:v>
      </x:c>
      <x:c r="I94" s="28" t="str">
        <x:v>https://www.youtube.com/playlist?list=PLKc5Y_4vUIXdCc84YtgNTL2IMdMT2Ed3j</x:v>
      </x:c>
      <x:c r="J94" s="25" t="str">
        <x:v>选现场技术演示、Tailgate 与专业讲座；它也运营 Sustainable Winegrowing Podcast，音频内容需单独标注，不混进实拍素材池。</x:v>
      </x:c>
      <x:c r="K94" s="25" t="str">
        <x:v>英语；部分教学另有西班牙语</x:v>
      </x:c>
      <x:c r="L94" s="21" t="str">
        <x:v>待选片</x:v>
      </x:c>
    </x:row>
    <x:row r="95" ht="69" customHeight="1">
      <x:c r="A95" s="18" t="n">
        <x:v>91</x:v>
      </x:c>
      <x:c r="B95" s="18" t="str">
        <x:v>技术供应商</x:v>
      </x:c>
      <x:c r="C95" s="17" t="str">
        <x:v>Lallemand Oenology</x:v>
      </x:c>
      <x:c r="D95" s="17" t="str">
        <x:v>国际｜加拿大</x:v>
      </x:c>
      <x:c r="E95" s="17" t="str">
        <x:v>酵母、乳酸菌、酵母衍生物、发酵管理与酿酒微生物技术。</x:v>
      </x:c>
      <x:c r="F95" s="17" t="str">
        <x:v>Specific yeast derivatives — includes Webinar: Derivados de levadura: Qué los diferencia y cómo elegirlos con criterio</x:v>
      </x:c>
      <x:c r="G95" s="19" t="str">
        <x:v>补充</x:v>
      </x:c>
      <x:c r="H95" s="20" t="str">
        <x:v>https://www.youtube.com/@LallemandOenology</x:v>
      </x:c>
      <x:c r="I95" s="20" t="str">
        <x:v>https://www.youtube.com/playlist?list=PL2cmpYwzFFUqsHdkk0b4w4dv-p5PfqjKn</x:v>
      </x:c>
      <x:c r="J95" s="17" t="str">
        <x:v>酿酒微生物与辅料供应商。仅选完整技术讲座、研发解释与操作流程；把供应商身份保留在片源信息中，产品广告与企业宣传不进主节目。</x:v>
      </x:c>
      <x:c r="K95" s="17" t="str">
        <x:v>多语种；所选 webinar 为西班牙语</x:v>
      </x:c>
      <x:c r="L95" s="21" t="str">
        <x:v>待选片</x:v>
      </x:c>
    </x:row>
    <x:row r="96" ht="69" customHeight="1">
      <x:c r="A96" s="26" t="n">
        <x:v>92</x:v>
      </x:c>
      <x:c r="B96" s="26" t="str">
        <x:v>技术供应商</x:v>
      </x:c>
      <x:c r="C96" s="25" t="str">
        <x:v>LAFFORT, L’œnologie par nature</x:v>
      </x:c>
      <x:c r="D96" s="25" t="str">
        <x:v>法国｜国际</x:v>
      </x:c>
      <x:c r="E96" s="25" t="str">
        <x:v>收获季酿造流程、起泡酒基酒、芳香型白葡萄酒与桃红技术。</x:v>
      </x:c>
      <x:c r="F96" s="25" t="str">
        <x:v>Laffort USA Harvest Winemaking Protocols — includes Sparkling Wines Part One: Base Preparation</x:v>
      </x:c>
      <x:c r="G96" s="27" t="str">
        <x:v>补充</x:v>
      </x:c>
      <x:c r="H96" s="28" t="str">
        <x:v>https://www.youtube.com/channel/UCwCzSydFzJIqBsV7aSGTMrg</x:v>
      </x:c>
      <x:c r="I96" s="28" t="str">
        <x:v>https://www.youtube.com/playlist?list=PLRqjmEDri2zxBF_OXp_YWeJFpsF3wng-F</x:v>
      </x:c>
      <x:c r="J96" s="25" t="str">
        <x:v>酿酒辅料供应商的技术资料库；选成体系的酿造流程与学术/技术解释，避开单品介绍、促销和企业形象片。</x:v>
      </x:c>
      <x:c r="K96" s="25" t="str">
        <x:v>多语种；所选系列为英语</x:v>
      </x:c>
      <x:c r="L96" s="21" t="str">
        <x:v>待选片</x:v>
      </x:c>
    </x:row>
    <x:row r="97" ht="69" customHeight="1">
      <x:c r="A97" s="18" t="n">
        <x:v>93</x:v>
      </x:c>
      <x:c r="B97" s="18" t="str">
        <x:v>技术供应商</x:v>
      </x:c>
      <x:c r="C97" s="17" t="str">
        <x:v>Enartis Enology</x:v>
      </x:c>
      <x:c r="D97" s="17" t="str">
        <x:v>意大利｜国际</x:v>
      </x:c>
      <x:c r="E97" s="17" t="str">
        <x:v>酿酒微生物控制、稳定性、澄清与香气管理的技术研讨。</x:v>
      </x:c>
      <x:c r="F97" s="17" t="str">
        <x:v>Microbe Management in Winemaking</x:v>
      </x:c>
      <x:c r="G97" s="19" t="str">
        <x:v>补充</x:v>
      </x:c>
      <x:c r="H97" s="20" t="str">
        <x:v>https://www.youtube.com/channel/UCGu0b-7FX1Y3ldXTQ5BHkow</x:v>
      </x:c>
      <x:c r="I97" s="20" t="str">
        <x:v>https://www.youtube.com/watch?v=AdOP8Ptut_k</x:v>
      </x:c>
      <x:c r="J97" s="17" t="str">
        <x:v>酿酒技术供应商。只选完整问题导向的技术 webinar；产品解决方案和商业赞助信息应保留标注，单纯推销不收。</x:v>
      </x:c>
      <x:c r="K97" s="17" t="str">
        <x:v>多语种；所选 webinar 为英语</x:v>
      </x:c>
      <x:c r="L97" s="21" t="str">
        <x:v>待选片</x:v>
      </x:c>
    </x:row>
    <x:row r="98" ht="69" customHeight="1">
      <x:c r="A98" s="26" t="n">
        <x:v>94</x:v>
      </x:c>
      <x:c r="B98" s="26" t="str">
        <x:v>技术供应商</x:v>
      </x:c>
      <x:c r="C98" s="25" t="str">
        <x:v>Scott Laboratories</x:v>
      </x:c>
      <x:c r="D98" s="25" t="str">
        <x:v>美国｜加拿大</x:v>
      </x:c>
      <x:c r="E98" s="25" t="str">
        <x:v>酒厂过滤、设备操作、发酵与微生物控制的演示和技术课堂。</x:v>
      </x:c>
      <x:c r="F98" s="25" t="str">
        <x:v>Scott Labs Filtration School | Full Recording</x:v>
      </x:c>
      <x:c r="G98" s="27" t="str">
        <x:v>补充</x:v>
      </x:c>
      <x:c r="H98" s="28" t="str">
        <x:v>https://www.youtube.com/@ScottLaboratories</x:v>
      </x:c>
      <x:c r="I98" s="28" t="str">
        <x:v>https://www.youtube.com/watch?v=ZUqJ5lLTIUw</x:v>
      </x:c>
      <x:c r="J98" s="25" t="str">
        <x:v>酿酒设备/技术供应商。优先选过滤原理、工艺判断和可见操作演示；设备型号介绍与销售内容需剔除。</x:v>
      </x:c>
      <x:c r="K98" s="25" t="str">
        <x:v>英语</x:v>
      </x:c>
      <x:c r="L98" s="21" t="str">
        <x:v>待选片</x:v>
      </x:c>
    </x:row>
    <x:row r="99" ht="77.25" customHeight="1">
      <x:c r="A99" s="18" t="n">
        <x:v>95</x:v>
      </x:c>
      <x:c r="B99" s="18" t="str">
        <x:v>专业技术媒体</x:v>
      </x:c>
      <x:c r="C99" s="17" t="str">
        <x:v>Infowine / Vinidea</x:v>
      </x:c>
      <x:c r="D99" s="17" t="str">
        <x:v>意大利｜国际</x:v>
      </x:c>
      <x:c r="E99" s="17" t="str">
        <x:v>栽培与酿酒技术会议、研究报告和网络研讨会；已核验示例为葡萄酒槲皮素沉淀的机理与预防。</x:v>
      </x:c>
      <x:c r="F99" s="17" t="str">
        <x:v>Recenti studi sulla quercetina nei vini e nuove proposte per la prevenzione delle precipitazioni — 完整 webinar（1:27:37）</x:v>
      </x:c>
      <x:c r="G99" s="19" t="str">
        <x:v>补充</x:v>
      </x:c>
      <x:c r="H99" s="20" t="str">
        <x:v>https://www.youtube.com/channel/UC6X9po6Tgqw5nSRs6FgsyWQ</x:v>
      </x:c>
      <x:c r="I99" s="20" t="str">
        <x:v>https://www.youtube.com/playlist?list=PL7IYC-tfEAUedv1T4yFctehfGZ89OoiBh</x:v>
      </x:c>
      <x:c r="J99" s="17" t="str">
        <x:v>技术媒体/培训出版方，Infowine 与 Vinidea 合并为一个来源。可选完整公开技术 webinar；代表讲座由那不勒斯腓特烈二世大学的 Angelita Gambuti 与 Alessandra Rinaldi 主讲。频道也有短节选、付费课程预告与赞助内容，逐片筛选。</x:v>
      </x:c>
      <x:c r="K99" s="17" t="str">
        <x:v>英语、意大利语、法语、西班牙语等</x:v>
      </x:c>
      <x:c r="L99" s="21" t="str">
        <x:v>待选片</x:v>
      </x:c>
    </x:row>
    <x:row r="100" ht="69" customHeight="1">
      <x:c r="A100" s="26" t="n">
        <x:v>96</x:v>
      </x:c>
      <x:c r="B100" s="26" t="str">
        <x:v>教学与研究</x:v>
      </x:c>
      <x:c r="C100" s="25" t="str">
        <x:v>Napa Valley Grapegrowers / NVGrapegrowers</x:v>
      </x:c>
      <x:c r="D100" s="25" t="str">
        <x:v>美国｜加州纳帕谷</x:v>
      </x:c>
      <x:c r="E100" s="25" t="str">
        <x:v>葡萄种植全年操作教学：修剪、抹芽、覆盖作物、侵蚀控制、灌溉与气候适应。</x:v>
      </x:c>
      <x:c r="F100" s="25" t="str">
        <x:v>Best Practices — English</x:v>
      </x:c>
      <x:c r="G100" s="27" t="str">
        <x:v>先看</x:v>
      </x:c>
      <x:c r="H100" s="28" t="str">
        <x:v>https://www.youtube.com/@NVGrapegrowers</x:v>
      </x:c>
      <x:c r="I100" s="28" t="str">
        <x:v>https://www.youtube.com/playlist?list=PL5PjGOggWf6Y9P6v42sy-FoBdfIdGDm7T</x:v>
      </x:c>
      <x:c r="J100" s="25" t="str">
        <x:v>种植者组织的实操课程；与旧表的 Napa Valley Vintners 是不同组织和频道。只收栽培演示与技术会议，不收颁奖、募款、行业社交活动片。</x:v>
      </x:c>
      <x:c r="K100" s="25" t="str">
        <x:v>英语；同系列另有西班牙语</x:v>
      </x:c>
      <x:c r="L100" s="21" t="str">
        <x:v>待选片</x:v>
      </x:c>
    </x:row>
    <x:row r="101" ht="69" customHeight="1">
      <x:c r="A101" s="18" t="n">
        <x:v>97</x:v>
      </x:c>
      <x:c r="B101" s="18" t="str">
        <x:v>教学与研究</x:v>
      </x:c>
      <x:c r="C101" s="17" t="str">
        <x:v>ASEV-ES — American Society for Enology and Viticulture, Eastern Section</x:v>
      </x:c>
      <x:c r="D101" s="17" t="str">
        <x:v>美国及加拿大｜东部产区</x:v>
      </x:c>
      <x:c r="E101" s="17" t="str">
        <x:v>Hang-Time 学术技术讨论；酵母可利用氮（YAN）、酿造、混酿及葡萄栽培。</x:v>
      </x:c>
      <x:c r="F101" s="17" t="str">
        <x:v>Enology Webinars — includes Hangtime with ASEV-ES 2.8.24</x:v>
      </x:c>
      <x:c r="G101" s="19" t="str">
        <x:v>先看</x:v>
      </x:c>
      <x:c r="H101" s="20" t="str">
        <x:v>https://www.youtube.com/@asev-es</x:v>
      </x:c>
      <x:c r="I101" s="20" t="str">
        <x:v>https://www.youtube.com/playlist?list=PL3ahyvW-3wQrSRJO1BEvEpJS8ISBZH_D0</x:v>
      </x:c>
      <x:c r="J101" s="17" t="str">
        <x:v>学术协会东部分会的正式 webinar 频道；可收酿造和田间研究分享。与旧表 ASI 国际侍酒师协会无关，不是别名重复。</x:v>
      </x:c>
      <x:c r="K101" s="17" t="str">
        <x:v>英语</x:v>
      </x:c>
      <x:c r="L101" s="21" t="str">
        <x:v>待选片</x:v>
      </x:c>
    </x:row>
    <x:row r="102" ht="69" customHeight="1">
      <x:c r="A102" s="26" t="n">
        <x:v>98</x:v>
      </x:c>
      <x:c r="B102" s="26" t="str">
        <x:v>教学与研究</x:v>
      </x:c>
      <x:c r="C102" s="25" t="str">
        <x:v>Sonoma County Winegrowers</x:v>
      </x:c>
      <x:c r="D102" s="25" t="str">
        <x:v>美国｜加州索诺玛</x:v>
      </x:c>
      <x:c r="E102" s="25" t="str">
        <x:v>种植者教育、土壤研讨会与可持续葡萄栽培。</x:v>
      </x:c>
      <x:c r="F102" s="25" t="str">
        <x:v>Education, Webinars &amp; Symposiums — includes Soil Symposium FULL Webinar</x:v>
      </x:c>
      <x:c r="G102" s="27" t="str">
        <x:v>常规</x:v>
      </x:c>
      <x:c r="H102" s="28" t="str">
        <x:v>https://www.youtube.com/@sonomawinegrowers</x:v>
      </x:c>
      <x:c r="I102" s="28" t="str">
        <x:v>https://www.youtube.com/playlist?list=PL_mAOywi0FOfG47KYXHjOgaWWz05pBP6-</x:v>
      </x:c>
      <x:c r="J102" s="25" t="str">
        <x:v>限定收教育 webinar、土壤与种植技术；频道也有餐酒搭配、娱乐与产区宣传，不作为整号自动搬运来源。</x:v>
      </x:c>
      <x:c r="K102" s="25" t="str">
        <x:v>英语</x:v>
      </x:c>
      <x:c r="L102" s="21" t="str">
        <x:v>待选片</x:v>
      </x:c>
    </x:row>
    <x:row r="103" ht="69" customHeight="1">
      <x:c r="A103" s="18" t="n">
        <x:v>99</x:v>
      </x:c>
      <x:c r="B103" s="18" t="str">
        <x:v>教学与研究</x:v>
      </x:c>
      <x:c r="C103" s="17" t="str">
        <x:v>California Sustainable Winegrowing Alliance / CSWA</x:v>
      </x:c>
      <x:c r="D103" s="17" t="str">
        <x:v>美国｜加利福尼亚</x:v>
      </x:c>
      <x:c r="E103" s="17" t="str">
        <x:v>葡萄园与酒厂的可持续生产、气候适应、土壤健康、用水和能源管理。</x:v>
      </x:c>
      <x:c r="F103" s="17" t="str">
        <x:v>2024 U.S. Sustainable Winegrowing Summit — includes Climate Change Impacts &amp; Actionable Strategies for Adaptation &amp; Mitigation</x:v>
      </x:c>
      <x:c r="G103" s="19" t="str">
        <x:v>先看</x:v>
      </x:c>
      <x:c r="H103" s="20" t="str">
        <x:v>https://www.youtube.com/@CASustainableWine</x:v>
      </x:c>
      <x:c r="I103" s="20" t="str">
        <x:v>https://www.youtube.com/playlist?list=PLeCKCjHuUVKk1sB8-KF7gI_tXhRNV60W6</x:v>
      </x:c>
      <x:c r="J103" s="17" t="str">
        <x:v>行业可持续农业教育机构的技术会议和案例库。选科研讲解、实践案例及操作教程；颁奖、认证营销和品酒活动应单独排除。</x:v>
      </x:c>
      <x:c r="K103" s="17" t="str">
        <x:v>英语</x:v>
      </x:c>
      <x:c r="L103" s="21" t="str">
        <x:v>待选片</x:v>
      </x:c>
    </x:row>
    <x:row r="104" ht="69" customHeight="1">
      <x:c r="A104" s="26" t="n">
        <x:v>100</x:v>
      </x:c>
      <x:c r="B104" s="26" t="str">
        <x:v>教学与研究</x:v>
      </x:c>
      <x:c r="C104" s="25" t="str">
        <x:v>Old Vine Conference</x:v>
      </x:c>
      <x:c r="D104" s="25" t="str">
        <x:v>国际｜老藤专题</x:v>
      </x:c>
      <x:c r="E104" s="25" t="str">
        <x:v>老藤保护、栽培、历史与研究讨论；正式会议录影。</x:v>
      </x:c>
      <x:c r="F104" s="25" t="str">
        <x:v>The Old Vine Conference 2025 — Meeting of the Minds</x:v>
      </x:c>
      <x:c r="G104" s="27" t="str">
        <x:v>先看</x:v>
      </x:c>
      <x:c r="H104" s="28" t="str">
        <x:v>https://www.youtube.com/channel/UCDnkZgL0lD9ukhdO4YuJkAQ</x:v>
      </x:c>
      <x:c r="I104" s="28" t="str">
        <x:v>https://www.youtube.com/playlist?list=PLeBsYcS10LYtkMdFPTeKyMB46rwVxyyqN</x:v>
      </x:c>
      <x:c r="J104" s="25" t="str">
        <x:v>选正式大会研究报告、历史介绍与生产者讨论；老藤价值倡议需和具体研究依据区分。音频播客与大会录像分开。</x:v>
      </x:c>
      <x:c r="K104" s="25" t="str">
        <x:v>英语</x:v>
      </x:c>
      <x:c r="L104" s="21" t="str">
        <x:v>待选片</x:v>
      </x:c>
    </x:row>
  </x:sheetData>
  <x:mergeCells>
    <x:mergeCell ref="A1:G1"/>
    <x:mergeCell ref="A2:G2"/>
  </x:mergeCells>
  <x:dataValidations count="2">
    <x:dataValidation type="list" sqref="L5:L54">
      <x:formula1>"待选片,待获取原片,已获取,字幕处理中,待审核,可发布,已发布,暂不采用"</x:formula1>
    </x:dataValidation>
    <x:dataValidation type="list" sqref="L55:L104">
      <x:formula1>"待选片,待获取原片,已获取,字幕处理中,待审核,可发布,已发布,暂不采用"</x:formula1>
    </x:dataValidation>
  </x:dataValidations>
  <x:pageMargins left="0.7" right="0.7" top="0.75" bottom="0.75" header="0.3" footer="0.3"/>
  <x:legacyDrawing xmlns:r="http://schemas.openxmlformats.org/officeDocument/2006/relationships" r:id="R7a6084afe2ee448f"/>
  <x:tableParts count="1">
    <x:tablePart xmlns:r="http://schemas.openxmlformats.org/officeDocument/2006/relationships" r:id="R44e76ed948884d6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8.4399995803833" hidden="0" customWidth="1"/>
    <x:col min="2" max="2" width="20" hidden="0" customWidth="1"/>
    <x:col min="3" max="3" width="16.670000076293945" hidden="0" customWidth="1"/>
    <x:col min="4" max="4" width="17.219999313354492" hidden="0" customWidth="1"/>
    <x:col min="5" max="5" width="40.560001373291016" hidden="0" customWidth="1"/>
    <x:col min="6" max="6" width="21.110000610351562" hidden="0" customWidth="1"/>
    <x:col min="7" max="7" width="9.5600004196167" hidden="0" customWidth="1"/>
    <x:col min="8" max="8" width="36.66999816894531" hidden="0" customWidth="1"/>
    <x:col min="9" max="9" width="36.66999816894531" hidden="0" customWidth="1"/>
    <x:col min="10" max="10" width="35.560001373291016" hidden="0" customWidth="1"/>
    <x:col min="11" max="11" width="19.440000534057617" hidden="0" customWidth="1"/>
    <x:col min="12" max="12" width="12.779999732971191" hidden="0" customWidth="1"/>
  </x:cols>
  <x:sheetData>
    <x:row r="1" ht="28.5" customHeight="1">
      <x:c r="A1" s="4" t="str">
        <x:v>中国葡萄酒｜9 个来源与 26 条选片线索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5" t="str">
        <x:v>3 个中国葡萄酒平台／酒庄账号，加学术、媒体与指定纪录片；津亦说及汐花园采访仅作备选。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4" customHeight="1">
      <x:c r="A4" s="8" t="str">
        <x:v>素材ID</x:v>
      </x:c>
      <x:c r="B4" s="8" t="str">
        <x:v>来源／上传者</x:v>
      </x:c>
      <x:c r="C4" s="8" t="str">
        <x:v>来源类型</x:v>
      </x:c>
      <x:c r="D4" s="8" t="str">
        <x:v>产区／主题</x:v>
      </x:c>
      <x:c r="E4" s="8" t="str">
        <x:v>视频／节目标题</x:v>
      </x:c>
      <x:c r="F4" s="8" t="str">
        <x:v>选片用途</x:v>
      </x:c>
      <x:c r="G4" s="8" t="str">
        <x:v>选片顺序</x:v>
      </x:c>
      <x:c r="H4" s="8" t="str">
        <x:v>视频入口</x:v>
      </x:c>
      <x:c r="I4" s="8" t="str">
        <x:v>账号／节目入口</x:v>
      </x:c>
      <x:c r="J4" s="8" t="str">
        <x:v>取舍备注</x:v>
      </x:c>
      <x:c r="K4" s="8" t="str">
        <x:v>片长／发布日期</x:v>
      </x:c>
      <x:c r="L4" s="8" t="str">
        <x:v>处理状态</x:v>
      </x:c>
    </x:row>
    <x:row r="5" ht="69" customHeight="1">
      <x:c r="A5" s="9" t="str">
        <x:v>CN-001</x:v>
      </x:c>
      <x:c r="B5" s="9" t="str">
        <x:v>UCW向上中国葡萄酒</x:v>
      </x:c>
      <x:c r="C5" s="9" t="str">
        <x:v>中国葡萄酒平台</x:v>
      </x:c>
      <x:c r="D5" s="9" t="str">
        <x:v>宁夏／新疆／怀来</x:v>
      </x:c>
      <x:c r="E5" s="9" t="str">
        <x:v>黄河谣【1】贺兰山东麓产区充满梦想的地方</x:v>
      </x:c>
      <x:c r="F5" s="9" t="str">
        <x:v>产区纪录系列</x:v>
      </x:c>
      <x:c r="G5" s="9" t="str">
        <x:v>先看</x:v>
      </x:c>
      <x:c r="H5" s="9" t="str">
        <x:v>https://www.bilibili.com/video/BV1Q54y1H7U6/</x:v>
      </x:c>
      <x:c r="I5" s="9" t="str">
        <x:v>https://space.bilibili.com/384936863/</x:v>
      </x:c>
      <x:c r="J5" s="9" t="str">
        <x:v>纪录、葡萄园与生产过程优先；伊犁片仅43秒。</x:v>
      </x:c>
      <x:c r="K5" s="9" t="str">
        <x:v>片长待核 / 日期待核</x:v>
      </x:c>
      <x:c r="L5" s="13" t="str">
        <x:v>待看片</x:v>
      </x:c>
    </x:row>
    <x:row r="6" ht="69" customHeight="1">
      <x:c r="A6" s="10" t="str">
        <x:v>CN-002</x:v>
      </x:c>
      <x:c r="B6" s="10" t="str">
        <x:v>UCW向上中国葡萄酒</x:v>
      </x:c>
      <x:c r="C6" s="10" t="str">
        <x:v>中国葡萄酒平台</x:v>
      </x:c>
      <x:c r="D6" s="10" t="str">
        <x:v>宁夏／新疆／怀来</x:v>
      </x:c>
      <x:c r="E6" s="10" t="str">
        <x:v>黄河谣【3】在SAP系统管理下酿酒的酒庄</x:v>
      </x:c>
      <x:c r="F6" s="10" t="str">
        <x:v>酒庄纪录／访谈</x:v>
      </x:c>
      <x:c r="G6" s="10" t="str">
        <x:v>先看</x:v>
      </x:c>
      <x:c r="H6" s="10" t="str">
        <x:v>https://www.bilibili.com/video/BV1oB4y1M7sg/</x:v>
      </x:c>
      <x:c r="I6" s="10" t="str">
        <x:v>https://space.bilibili.com/384936863/</x:v>
      </x:c>
      <x:c r="J6" s="10" t="str">
        <x:v>纪录、葡萄园与生产过程优先；伊犁片仅43秒。</x:v>
      </x:c>
      <x:c r="K6" s="10" t="str">
        <x:v>片长待核 / 日期待核</x:v>
      </x:c>
      <x:c r="L6" s="13" t="str">
        <x:v>待看片</x:v>
      </x:c>
    </x:row>
    <x:row r="7" ht="69" customHeight="1">
      <x:c r="A7" s="9" t="str">
        <x:v>CN-003</x:v>
      </x:c>
      <x:c r="B7" s="9" t="str">
        <x:v>UCW向上中国葡萄酒</x:v>
      </x:c>
      <x:c r="C7" s="9" t="str">
        <x:v>中国葡萄酒平台</x:v>
      </x:c>
      <x:c r="D7" s="9" t="str">
        <x:v>宁夏／新疆／怀来</x:v>
      </x:c>
      <x:c r="E7" s="9" t="str">
        <x:v>黄河谣【4】让宁夏葡萄酒走向全世界</x:v>
      </x:c>
      <x:c r="F7" s="9" t="str">
        <x:v>产区纪录系列</x:v>
      </x:c>
      <x:c r="G7" s="9" t="str">
        <x:v>先看</x:v>
      </x:c>
      <x:c r="H7" s="9" t="str">
        <x:v>https://www.bilibili.com/video/BV15w411Z7YB/</x:v>
      </x:c>
      <x:c r="I7" s="9" t="str">
        <x:v>https://space.bilibili.com/384936863/</x:v>
      </x:c>
      <x:c r="J7" s="9" t="str">
        <x:v>纪录、葡萄园与生产过程优先；伊犁片仅43秒。</x:v>
      </x:c>
      <x:c r="K7" s="9" t="str">
        <x:v>片长待核 / 日期待核</x:v>
      </x:c>
      <x:c r="L7" s="13" t="str">
        <x:v>待看片</x:v>
      </x:c>
    </x:row>
    <x:row r="8" ht="69" customHeight="1">
      <x:c r="A8" s="10" t="str">
        <x:v>CN-004</x:v>
      </x:c>
      <x:c r="B8" s="10" t="str">
        <x:v>UCW向上中国葡萄酒</x:v>
      </x:c>
      <x:c r="C8" s="10" t="str">
        <x:v>中国葡萄酒平台</x:v>
      </x:c>
      <x:c r="D8" s="10" t="str">
        <x:v>宁夏／新疆／怀来</x:v>
      </x:c>
      <x:c r="E8" s="10" t="str">
        <x:v>伊犁河谷之行——UCW向上中国葡萄酒</x:v>
      </x:c>
      <x:c r="F8" s="10" t="str">
        <x:v>实地短片，非完整纪录片</x:v>
      </x:c>
      <x:c r="G8" s="10" t="str">
        <x:v>先看</x:v>
      </x:c>
      <x:c r="H8" s="10" t="str">
        <x:v>https://www.bilibili.com/video/BV1y5411K7M9/</x:v>
      </x:c>
      <x:c r="I8" s="10" t="str">
        <x:v>https://space.bilibili.com/384936863/</x:v>
      </x:c>
      <x:c r="J8" s="10" t="str">
        <x:v>纪录、葡萄园与生产过程优先；伊犁片仅43秒。</x:v>
      </x:c>
      <x:c r="K8" s="10" t="str">
        <x:v>00:43 / 日期待核</x:v>
      </x:c>
      <x:c r="L8" s="13" t="str">
        <x:v>待看片</x:v>
      </x:c>
    </x:row>
    <x:row r="9" ht="69" customHeight="1">
      <x:c r="A9" s="9" t="str">
        <x:v>CN-005</x:v>
      </x:c>
      <x:c r="B9" s="9" t="str">
        <x:v>UCW向上中国葡萄酒</x:v>
      </x:c>
      <x:c r="C9" s="9" t="str">
        <x:v>中国葡萄酒平台</x:v>
      </x:c>
      <x:c r="D9" s="9" t="str">
        <x:v>宁夏／新疆／怀来</x:v>
      </x:c>
      <x:c r="E9" s="9" t="str">
        <x:v>马丁酒庄2020出土展藤</x:v>
      </x:c>
      <x:c r="F9" s="9" t="str">
        <x:v>葡萄园操作</x:v>
      </x:c>
      <x:c r="G9" s="9" t="str">
        <x:v>先看</x:v>
      </x:c>
      <x:c r="H9" s="9" t="str">
        <x:v>https://www.bilibili.com/video/BV1Gi4y187SY/</x:v>
      </x:c>
      <x:c r="I9" s="9" t="str">
        <x:v>https://space.bilibili.com/384936863/</x:v>
      </x:c>
      <x:c r="J9" s="9" t="str">
        <x:v>纪录、葡萄园与生产过程优先；伊犁片仅43秒。</x:v>
      </x:c>
      <x:c r="K9" s="9" t="str">
        <x:v>片长待核 / 日期待核</x:v>
      </x:c>
      <x:c r="L9" s="13" t="str">
        <x:v>待看片</x:v>
      </x:c>
    </x:row>
    <x:row r="10" ht="69" customHeight="1">
      <x:c r="A10" s="10" t="str">
        <x:v>CN-006</x:v>
      </x:c>
      <x:c r="B10" s="10" t="str">
        <x:v>宁夏银色高地葡萄酒庄</x:v>
      </x:c>
      <x:c r="C10" s="10" t="str">
        <x:v>酒庄账号</x:v>
      </x:c>
      <x:c r="D10" s="10" t="str">
        <x:v>宁夏／贺兰山东麓</x:v>
      </x:c>
      <x:c r="E10" s="10" t="str">
        <x:v>【银色高地】这个国产酒庄为了抵御霜冻都做了什么？</x:v>
      </x:c>
      <x:c r="F10" s="10" t="str">
        <x:v>葡萄园防霜冻</x:v>
      </x:c>
      <x:c r="G10" s="10" t="str">
        <x:v>先看</x:v>
      </x:c>
      <x:c r="H10" s="10" t="str">
        <x:v>https://www.bilibili.com/video/BV1zg4y1z7JH/</x:v>
      </x:c>
      <x:c r="I10" s="10" t="str">
        <x:v>https://space.bilibili.com/549653723</x:v>
      </x:c>
      <x:c r="J10" s="10" t="str">
        <x:v>选葡萄园操作与季节变化；保留酒庄原始来源。</x:v>
      </x:c>
      <x:c r="K10" s="10" t="str">
        <x:v>片长待核 / 日期待核</x:v>
      </x:c>
      <x:c r="L10" s="13" t="str">
        <x:v>待看片</x:v>
      </x:c>
    </x:row>
    <x:row r="11" ht="69" customHeight="1">
      <x:c r="A11" s="9" t="str">
        <x:v>CN-007</x:v>
      </x:c>
      <x:c r="B11" s="9" t="str">
        <x:v>宁夏银色高地葡萄酒庄</x:v>
      </x:c>
      <x:c r="C11" s="9" t="str">
        <x:v>酒庄账号</x:v>
      </x:c>
      <x:c r="D11" s="9" t="str">
        <x:v>宁夏／贺兰山东麓</x:v>
      </x:c>
      <x:c r="E11" s="9" t="str">
        <x:v>【银色高地】粗壮的葡萄根和脆弱的果实</x:v>
      </x:c>
      <x:c r="F11" s="9" t="str">
        <x:v>葡萄根系与果实</x:v>
      </x:c>
      <x:c r="G11" s="9" t="str">
        <x:v>先看</x:v>
      </x:c>
      <x:c r="H11" s="9" t="str">
        <x:v>https://www.bilibili.com/video/BV1Ki4y1G7qM/</x:v>
      </x:c>
      <x:c r="I11" s="9" t="str">
        <x:v>https://space.bilibili.com/549653723</x:v>
      </x:c>
      <x:c r="J11" s="9" t="str">
        <x:v>选葡萄园操作与季节变化；保留酒庄原始来源。</x:v>
      </x:c>
      <x:c r="K11" s="9" t="str">
        <x:v>片长待核 / 日期待核</x:v>
      </x:c>
      <x:c r="L11" s="13" t="str">
        <x:v>待看片</x:v>
      </x:c>
    </x:row>
    <x:row r="12" ht="69" customHeight="1">
      <x:c r="A12" s="10" t="str">
        <x:v>CN-008</x:v>
      </x:c>
      <x:c r="B12" s="10" t="str">
        <x:v>宁夏银色高地葡萄酒庄</x:v>
      </x:c>
      <x:c r="C12" s="10" t="str">
        <x:v>酒庄账号</x:v>
      </x:c>
      <x:c r="D12" s="10" t="str">
        <x:v>宁夏／贺兰山东麓</x:v>
      </x:c>
      <x:c r="E12" s="10" t="str">
        <x:v>【银色高地】岁月下的苏醒与成长</x:v>
      </x:c>
      <x:c r="F12" s="10" t="str">
        <x:v>葡萄园季节记录</x:v>
      </x:c>
      <x:c r="G12" s="10" t="str">
        <x:v>先看</x:v>
      </x:c>
      <x:c r="H12" s="10" t="str">
        <x:v>https://www.bilibili.com/video/BV1S5411s7Jx/</x:v>
      </x:c>
      <x:c r="I12" s="10" t="str">
        <x:v>https://space.bilibili.com/549653723</x:v>
      </x:c>
      <x:c r="J12" s="10" t="str">
        <x:v>选葡萄园操作与季节变化；保留酒庄原始来源。</x:v>
      </x:c>
      <x:c r="K12" s="10" t="str">
        <x:v>片长待核 / 2020-05-28</x:v>
      </x:c>
      <x:c r="L12" s="13" t="str">
        <x:v>待看片</x:v>
      </x:c>
    </x:row>
    <x:row r="13" ht="69" customHeight="1">
      <x:c r="A13" s="9" t="str">
        <x:v>CN-009</x:v>
      </x:c>
      <x:c r="B13" s="9" t="str">
        <x:v>西鸽酒庄</x:v>
      </x:c>
      <x:c r="C13" s="9" t="str">
        <x:v>酒庄账号</x:v>
      </x:c>
      <x:c r="D13" s="9" t="str">
        <x:v>宁夏／贺兰山东麓</x:v>
      </x:c>
      <x:c r="E13" s="9" t="str">
        <x:v>「西鸽酒庄」第二期 | 《这里是宁夏》纪录片—贺兰山东麓葡萄美酒的独特魅力</x:v>
      </x:c>
      <x:c r="F13" s="9" t="str">
        <x:v>电视文化节目／酒庄访谈</x:v>
      </x:c>
      <x:c r="G13" s="9" t="str">
        <x:v>先看</x:v>
      </x:c>
      <x:c r="H13" s="9" t="str">
        <x:v>https://www.bilibili.com/video/BV1m341147TZ/</x:v>
      </x:c>
      <x:c r="I13" s="9" t="str">
        <x:v>https://space.bilibili.com/1620456768/</x:v>
      </x:c>
      <x:c r="J13" s="9" t="str">
        <x:v>优先酿酒师酒窖参观与榨季；电视节目含文化娱乐内容。</x:v>
      </x:c>
      <x:c r="K13" s="9" t="str">
        <x:v>30:30 (description) / 2021-12-10</x:v>
      </x:c>
      <x:c r="L13" s="13" t="str">
        <x:v>待看片</x:v>
      </x:c>
    </x:row>
    <x:row r="14" ht="69" customHeight="1">
      <x:c r="A14" s="10" t="str">
        <x:v>CN-010</x:v>
      </x:c>
      <x:c r="B14" s="10" t="str">
        <x:v>西鸽酒庄</x:v>
      </x:c>
      <x:c r="C14" s="10" t="str">
        <x:v>酒庄账号</x:v>
      </x:c>
      <x:c r="D14" s="10" t="str">
        <x:v>宁夏／贺兰山东麓</x:v>
      </x:c>
      <x:c r="E14" s="10" t="str">
        <x:v>西鸽酿酒师带你游酒窖之赤霞珠篇</x:v>
      </x:c>
      <x:c r="F14" s="10" t="str">
        <x:v>酿酒师带看酒窖</x:v>
      </x:c>
      <x:c r="G14" s="10" t="str">
        <x:v>先看</x:v>
      </x:c>
      <x:c r="H14" s="10" t="str">
        <x:v>https://www.bilibili.com/video/BV1XF411V7wL/</x:v>
      </x:c>
      <x:c r="I14" s="10" t="str">
        <x:v>https://space.bilibili.com/1620456768/</x:v>
      </x:c>
      <x:c r="J14" s="10" t="str">
        <x:v>优先酿酒师酒窖参观与榨季；电视节目含文化娱乐内容。</x:v>
      </x:c>
      <x:c r="K14" s="10" t="str">
        <x:v>片长待核 / 日期待核</x:v>
      </x:c>
      <x:c r="L14" s="13" t="str">
        <x:v>待看片</x:v>
      </x:c>
    </x:row>
    <x:row r="15" ht="69" customHeight="1">
      <x:c r="A15" s="9" t="str">
        <x:v>CN-011</x:v>
      </x:c>
      <x:c r="B15" s="9" t="str">
        <x:v>西鸽酒庄</x:v>
      </x:c>
      <x:c r="C15" s="9" t="str">
        <x:v>酒庄账号</x:v>
      </x:c>
      <x:c r="D15" s="9" t="str">
        <x:v>宁夏／贺兰山东麓</x:v>
      </x:c>
      <x:c r="E15" s="9" t="str">
        <x:v>西鸽酿酒师带你游酒窖之霞多丽篇</x:v>
      </x:c>
      <x:c r="F15" s="9" t="str">
        <x:v>酿酒师带看酒窖</x:v>
      </x:c>
      <x:c r="G15" s="9" t="str">
        <x:v>先看</x:v>
      </x:c>
      <x:c r="H15" s="9" t="str">
        <x:v>https://www.bilibili.com/video/BV1nA4y1Z7Fi/</x:v>
      </x:c>
      <x:c r="I15" s="9" t="str">
        <x:v>https://space.bilibili.com/1620456768/</x:v>
      </x:c>
      <x:c r="J15" s="9" t="str">
        <x:v>优先酿酒师酒窖参观与榨季；电视节目含文化娱乐内容。</x:v>
      </x:c>
      <x:c r="K15" s="9" t="str">
        <x:v>片长待核 / 日期待核</x:v>
      </x:c>
      <x:c r="L15" s="13" t="str">
        <x:v>待看片</x:v>
      </x:c>
    </x:row>
    <x:row r="16" ht="69" customHeight="1">
      <x:c r="A16" s="10" t="str">
        <x:v>CN-012</x:v>
      </x:c>
      <x:c r="B16" s="10" t="str">
        <x:v>西鸽酒庄</x:v>
      </x:c>
      <x:c r="C16" s="10" t="str">
        <x:v>酒庄账号</x:v>
      </x:c>
      <x:c r="D16" s="10" t="str">
        <x:v>宁夏／贺兰山东麓</x:v>
      </x:c>
      <x:c r="E16" s="10" t="str">
        <x:v>西鸽酒庄榨季时刻</x:v>
      </x:c>
      <x:c r="F16" s="10" t="str">
        <x:v>采收／生产现场</x:v>
      </x:c>
      <x:c r="G16" s="10" t="str">
        <x:v>先看</x:v>
      </x:c>
      <x:c r="H16" s="10" t="str">
        <x:v>https://www.bilibili.com/video/BV16a411V7Mw/</x:v>
      </x:c>
      <x:c r="I16" s="10" t="str">
        <x:v>https://space.bilibili.com/1620456768/</x:v>
      </x:c>
      <x:c r="J16" s="10" t="str">
        <x:v>优先酿酒师酒窖参观与榨季；电视节目含文化娱乐内容。</x:v>
      </x:c>
      <x:c r="K16" s="10" t="str">
        <x:v>片长待核 / 日期待核</x:v>
      </x:c>
      <x:c r="L16" s="13" t="str">
        <x:v>待看片</x:v>
      </x:c>
    </x:row>
    <x:row r="17" ht="69" customHeight="1">
      <x:c r="A17" s="9" t="str">
        <x:v>CN-013</x:v>
      </x:c>
      <x:c r="B17" s="9" t="str">
        <x:v>西鸽酒庄</x:v>
      </x:c>
      <x:c r="C17" s="9" t="str">
        <x:v>酒庄账号</x:v>
      </x:c>
      <x:c r="D17" s="9" t="str">
        <x:v>宁夏／贺兰山东麓</x:v>
      </x:c>
      <x:c r="E17" s="9" t="str">
        <x:v>《荒漠中的追梦人》——专访贺兰山下西鸽酒庄与传奇人物张言志</x:v>
      </x:c>
      <x:c r="F17" s="9" t="str">
        <x:v>庄主／生产者访谈</x:v>
      </x:c>
      <x:c r="G17" s="9" t="str">
        <x:v>先看</x:v>
      </x:c>
      <x:c r="H17" s="9" t="str">
        <x:v>https://www.bilibili.com/video/BV1VS4y1L7U9/</x:v>
      </x:c>
      <x:c r="I17" s="9" t="str">
        <x:v>https://space.bilibili.com/1620456768/</x:v>
      </x:c>
      <x:c r="J17" s="9" t="str">
        <x:v>优先酿酒师酒窖参观与榨季；电视节目含文化娱乐内容。</x:v>
      </x:c>
      <x:c r="K17" s="9" t="str">
        <x:v>片长待核 / 日期待核</x:v>
      </x:c>
      <x:c r="L17" s="13" t="str">
        <x:v>待看片</x:v>
      </x:c>
    </x:row>
    <x:row r="18" ht="69" customHeight="1">
      <x:c r="A18" s="10" t="str">
        <x:v>CN-014</x:v>
      </x:c>
      <x:c r="B18" s="10" t="str">
        <x:v>宁夏科普作家协会</x:v>
      </x:c>
      <x:c r="C18" s="10" t="str">
        <x:v>科普机构／学术</x:v>
      </x:c>
      <x:c r="D18" s="10" t="str">
        <x:v>宁夏／怀来／通用技术</x:v>
      </x:c>
      <x:c r="E18" s="10" t="str">
        <x:v>中国葡萄酒产业问题思考及怀来产区葡萄酒研究进展</x:v>
      </x:c>
      <x:c r="F18" s="10" t="str">
        <x:v>学术研究讲座</x:v>
      </x:c>
      <x:c r="G18" s="10" t="str">
        <x:v>先看</x:v>
      </x:c>
      <x:c r="H18" s="10" t="str">
        <x:v>https://www.bilibili.com/video/BV1Ag4y1c75H/</x:v>
      </x:c>
      <x:c r="I18" s="10" t="str">
        <x:v>账号入口未核实；用视频页进入</x:v>
      </x:c>
      <x:c r="J18" s="10" t="str">
        <x:v>只选葡萄与葡萄酒技术讲座；协会并非专门葡萄酒账号。</x:v>
      </x:c>
      <x:c r="K18" s="10" t="str">
        <x:v>片长待核 / 2023-05-24</x:v>
      </x:c>
      <x:c r="L18" s="13" t="str">
        <x:v>待看片</x:v>
      </x:c>
    </x:row>
    <x:row r="19" ht="69" customHeight="1">
      <x:c r="A19" s="9" t="str">
        <x:v>CN-015</x:v>
      </x:c>
      <x:c r="B19" s="9" t="str">
        <x:v>宁夏科普作家协会</x:v>
      </x:c>
      <x:c r="C19" s="9" t="str">
        <x:v>科普机构／学术</x:v>
      </x:c>
      <x:c r="D19" s="9" t="str">
        <x:v>宁夏／怀来／通用技术</x:v>
      </x:c>
      <x:c r="E19" s="9" t="str">
        <x:v>中国本土葡萄酒乳酸菌资源开发利用</x:v>
      </x:c>
      <x:c r="F19" s="9" t="str">
        <x:v>葡萄酒乳酸菌技术</x:v>
      </x:c>
      <x:c r="G19" s="9" t="str">
        <x:v>先看</x:v>
      </x:c>
      <x:c r="H19" s="9" t="str">
        <x:v>https://www.bilibili.com/video/BV1fp421o7bb/</x:v>
      </x:c>
      <x:c r="I19" s="9" t="str">
        <x:v>账号入口未核实；用视频页进入</x:v>
      </x:c>
      <x:c r="J19" s="9" t="str">
        <x:v>只选葡萄与葡萄酒技术讲座；协会并非专门葡萄酒账号。</x:v>
      </x:c>
      <x:c r="K19" s="9" t="str">
        <x:v>片长待核 / 2024-02-04</x:v>
      </x:c>
      <x:c r="L19" s="13" t="str">
        <x:v>待看片</x:v>
      </x:c>
    </x:row>
    <x:row r="20" ht="69" customHeight="1">
      <x:c r="A20" s="10" t="str">
        <x:v>CN-016</x:v>
      </x:c>
      <x:c r="B20" s="10" t="str">
        <x:v>宁夏科普作家协会</x:v>
      </x:c>
      <x:c r="C20" s="10" t="str">
        <x:v>科普机构／学术</x:v>
      </x:c>
      <x:c r="D20" s="10" t="str">
        <x:v>宁夏／怀来／通用技术</x:v>
      </x:c>
      <x:c r="E20" s="10" t="str">
        <x:v>科学规范葡萄基地建设，全面提升葡萄酒质量</x:v>
      </x:c>
      <x:c r="F20" s="10" t="str">
        <x:v>葡萄基地建设技术</x:v>
      </x:c>
      <x:c r="G20" s="10" t="str">
        <x:v>先看</x:v>
      </x:c>
      <x:c r="H20" s="10" t="str">
        <x:v>https://www.bilibili.com/video/BV1G2421A745/</x:v>
      </x:c>
      <x:c r="I20" s="10" t="str">
        <x:v>账号入口未核实；用视频页进入</x:v>
      </x:c>
      <x:c r="J20" s="10" t="str">
        <x:v>只选葡萄与葡萄酒技术讲座；协会并非专门葡萄酒账号。</x:v>
      </x:c>
      <x:c r="K20" s="10" t="str">
        <x:v>片长待核 / 日期待核</x:v>
      </x:c>
      <x:c r="L20" s="13" t="str">
        <x:v>待看片</x:v>
      </x:c>
    </x:row>
    <x:row r="21" ht="69" customHeight="1">
      <x:c r="A21" s="9" t="str">
        <x:v>CN-017</x:v>
      </x:c>
      <x:c r="B21" s="9" t="str">
        <x:v>宁夏科普作家协会</x:v>
      </x:c>
      <x:c r="C21" s="9" t="str">
        <x:v>科普机构／学术</x:v>
      </x:c>
      <x:c r="D21" s="9" t="str">
        <x:v>宁夏／怀来／通用技术</x:v>
      </x:c>
      <x:c r="E21" s="9" t="str">
        <x:v>张军翔：大数据在葡萄及葡萄酒生产中的应用</x:v>
      </x:c>
      <x:c r="F21" s="9" t="str">
        <x:v>生产数据与技术</x:v>
      </x:c>
      <x:c r="G21" s="9" t="str">
        <x:v>先看</x:v>
      </x:c>
      <x:c r="H21" s="9" t="str">
        <x:v>https://www.bilibili.com/video/BV1tT411a7MP/</x:v>
      </x:c>
      <x:c r="I21" s="9" t="str">
        <x:v>账号入口未核实；用视频页进入</x:v>
      </x:c>
      <x:c r="J21" s="9" t="str">
        <x:v>只选葡萄与葡萄酒技术讲座；协会并非专门葡萄酒账号。</x:v>
      </x:c>
      <x:c r="K21" s="9" t="str">
        <x:v>片长待核 / 日期待核</x:v>
      </x:c>
      <x:c r="L21" s="13" t="str">
        <x:v>待看片</x:v>
      </x:c>
    </x:row>
    <x:row r="22" ht="69" customHeight="1">
      <x:c r="A22" s="10" t="str">
        <x:v>CN-018</x:v>
      </x:c>
      <x:c r="B22" s="10" t="str">
        <x:v>宁夏科普作家协会</x:v>
      </x:c>
      <x:c r="C22" s="10" t="str">
        <x:v>科普机构／学术</x:v>
      </x:c>
      <x:c r="D22" s="10" t="str">
        <x:v>宁夏／怀来／通用技术</x:v>
      </x:c>
      <x:c r="E22" s="10" t="str">
        <x:v>维加妮酒庄精品葡萄园管理</x:v>
      </x:c>
      <x:c r="F22" s="10" t="str">
        <x:v>葡萄园管理教学</x:v>
      </x:c>
      <x:c r="G22" s="10" t="str">
        <x:v>先看</x:v>
      </x:c>
      <x:c r="H22" s="10" t="str">
        <x:v>https://www.bilibili.com/video/BV1nH4y1Y7YC/</x:v>
      </x:c>
      <x:c r="I22" s="10" t="str">
        <x:v>账号入口未核实；用视频页进入</x:v>
      </x:c>
      <x:c r="J22" s="10" t="str">
        <x:v>只选葡萄与葡萄酒技术讲座；协会并非专门葡萄酒账号。</x:v>
      </x:c>
      <x:c r="K22" s="10" t="str">
        <x:v>片长待核 / 2024-02-04</x:v>
      </x:c>
      <x:c r="L22" s="13" t="str">
        <x:v>待看片</x:v>
      </x:c>
    </x:row>
    <x:row r="23" ht="69" customHeight="1">
      <x:c r="A23" s="9" t="str">
        <x:v>CN-019</x:v>
      </x:c>
      <x:c r="B23" s="9" t="str">
        <x:v>央视频</x:v>
      </x:c>
      <x:c r="C23" s="9" t="str">
        <x:v>综合媒体／专题</x:v>
      </x:c>
      <x:c r="D23" s="9" t="str">
        <x:v>山东／烟台</x:v>
      </x:c>
      <x:c r="E23" s="9" t="str">
        <x:v>烟台的葡萄一路成长需要多努力？一起了解葡萄酒的秘密</x:v>
      </x:c>
      <x:c r="F23" s="9" t="str">
        <x:v>烟台葡萄生长专题</x:v>
      </x:c>
      <x:c r="G23" s="9" t="str">
        <x:v>常规</x:v>
      </x:c>
      <x:c r="H23" s="9" t="str">
        <x:v>https://www.bilibili.com/video/BV1r54y1P76j/</x:v>
      </x:c>
      <x:c r="I23" s="9" t="str">
        <x:v>https://space.bilibili.com/433587902/</x:v>
      </x:c>
      <x:c r="J23" s="9" t="str">
        <x:v>烟台篇为中国葡萄酒素材；酒杯篇为服务科学补充。</x:v>
      </x:c>
      <x:c r="K23" s="9" t="str">
        <x:v>片长待核 / 日期待核</x:v>
      </x:c>
      <x:c r="L23" s="13" t="str">
        <x:v>待看片</x:v>
      </x:c>
    </x:row>
    <x:row r="24" ht="69" customHeight="1">
      <x:c r="A24" s="10" t="str">
        <x:v>CN-020</x:v>
      </x:c>
      <x:c r="B24" s="10" t="str">
        <x:v>央视频</x:v>
      </x:c>
      <x:c r="C24" s="10" t="str">
        <x:v>综合媒体／专题</x:v>
      </x:c>
      <x:c r="D24" s="10" t="str">
        <x:v>山东／烟台</x:v>
      </x:c>
      <x:c r="E24" s="10" t="str">
        <x:v>选对酒杯对于品鉴葡萄酒有多重要？跟随《葡萄酒的秘密》一起长知识！</x:v>
      </x:c>
      <x:c r="F24" s="10" t="str">
        <x:v>葡萄酒科学／服务补充</x:v>
      </x:c>
      <x:c r="G24" s="10" t="str">
        <x:v>常规</x:v>
      </x:c>
      <x:c r="H24" s="10" t="str">
        <x:v>https://www.bilibili.com/video/BV1JY4y127at/</x:v>
      </x:c>
      <x:c r="I24" s="10" t="str">
        <x:v>https://space.bilibili.com/433587902/</x:v>
      </x:c>
      <x:c r="J24" s="10" t="str">
        <x:v>烟台篇为中国葡萄酒素材；酒杯篇为服务科学补充。</x:v>
      </x:c>
      <x:c r="K24" s="10" t="str">
        <x:v>片长待核 / 日期待核</x:v>
      </x:c>
      <x:c r="L24" s="13" t="str">
        <x:v>待看片</x:v>
      </x:c>
    </x:row>
    <x:row r="25" ht="69" customHeight="1">
      <x:c r="A25" s="9" t="str">
        <x:v>CN-021</x:v>
      </x:c>
      <x:c r="B25" s="9" t="str">
        <x:v>《天下黄河富宁夏 第二季》—《贺兰山下》</x:v>
      </x:c>
      <x:c r="C25" s="9" t="str">
        <x:v>B站纪录片节目</x:v>
      </x:c>
      <x:c r="D25" s="9" t="str">
        <x:v>宁夏／贺兰山东麓</x:v>
      </x:c>
      <x:c r="E25" s="9" t="str">
        <x:v>第1集 贺兰山下</x:v>
      </x:c>
      <x:c r="F25" s="9" t="str">
        <x:v>产区地理、四季与酿造纪录</x:v>
      </x:c>
      <x:c r="G25" s="9" t="str">
        <x:v>先看</x:v>
      </x:c>
      <x:c r="H25" s="9" t="str">
        <x:v>https://www.bilibili.com/bangumi/play/ss45079</x:v>
      </x:c>
      <x:c r="I25" s="9" t="str">
        <x:v>https://www.bilibili.com/bangumi/play/ss45079</x:v>
      </x:c>
      <x:c r="J25" s="9" t="str">
        <x:v>节目入口，并非专门UP账号；是否免费完整播放尚未实测。</x:v>
      </x:c>
      <x:c r="K25" s="9" t="str">
        <x:v>片长待核 / 2023</x:v>
      </x:c>
      <x:c r="L25" s="13" t="str">
        <x:v>待看片</x:v>
      </x:c>
    </x:row>
    <x:row r="26" ht="69" customHeight="1">
      <x:c r="A26" s="10" t="str">
        <x:v>CN-022</x:v>
      </x:c>
      <x:c r="B26" s="10" t="str">
        <x:v>诗洋品酒生活</x:v>
      </x:c>
      <x:c r="C26" s="10" t="str">
        <x:v>用户指定纪录片</x:v>
      </x:c>
      <x:c r="D26" s="10" t="str">
        <x:v>中国／DEVO</x:v>
      </x:c>
      <x:c r="E26" s="10" t="str">
        <x:v>【纪录片】揭秘中国的起泡酒奇迹！</x:v>
      </x:c>
      <x:c r="F26" s="10" t="str">
        <x:v>中国起泡酒酒庄纪录</x:v>
      </x:c>
      <x:c r="G26" s="10" t="str">
        <x:v>先看</x:v>
      </x:c>
      <x:c r="H26" s="10" t="str">
        <x:v>https://www.bilibili.com/video/BV1tRRvYsEen/</x:v>
      </x:c>
      <x:c r="I26" s="10" t="str">
        <x:v>账号入口未核实；用视频页进入</x:v>
      </x:c>
      <x:c r="J26" s="10" t="str">
        <x:v>仅此片保留；不扩展至作者整个账号。</x:v>
      </x:c>
      <x:c r="K26" s="10" t="str">
        <x:v>24:48 / 2025-04-06</x:v>
      </x:c>
      <x:c r="L26" s="13" t="str">
        <x:v>待看片</x:v>
      </x:c>
    </x:row>
    <x:row r="27" ht="69" customHeight="1">
      <x:c r="A27" s="9" t="str">
        <x:v>CN-023</x:v>
      </x:c>
      <x:c r="B27" s="9" t="str">
        <x:v>津亦说</x:v>
      </x:c>
      <x:c r="C27" s="9" t="str">
        <x:v>生产者访谈备选</x:v>
      </x:c>
      <x:c r="D27" s="9" t="str">
        <x:v>宁夏／酿酒师经历</x:v>
      </x:c>
      <x:c r="E27" s="9" t="str">
        <x:v>【人物专访】中国醉niubility的女性酿酒师！银色高地的Emma高源做客我的winetalk节目啦！</x:v>
      </x:c>
      <x:c r="F27" s="9" t="str">
        <x:v>银色高地庄主／酿酒师访谈</x:v>
      </x:c>
      <x:c r="G27" s="9" t="str">
        <x:v>备选</x:v>
      </x:c>
      <x:c r="H27" s="9" t="str">
        <x:v>https://www.bilibili.com/video/BV11N411s7Nv/</x:v>
      </x:c>
      <x:c r="I27" s="9" t="str">
        <x:v>https://space.bilibili.com/442180158/</x:v>
      </x:c>
      <x:c r="J27" s="9" t="str">
        <x:v>只考虑酿酒师原声访谈；须先看片，不加入首批。</x:v>
      </x:c>
      <x:c r="K27" s="9" t="str">
        <x:v>04:50 / 2023-10-17</x:v>
      </x:c>
      <x:c r="L27" s="13" t="str">
        <x:v>待看片</x:v>
      </x:c>
    </x:row>
    <x:row r="28" ht="69" customHeight="1">
      <x:c r="A28" s="10" t="str">
        <x:v>CN-024</x:v>
      </x:c>
      <x:c r="B28" s="10" t="str">
        <x:v>津亦说</x:v>
      </x:c>
      <x:c r="C28" s="10" t="str">
        <x:v>生产者访谈备选</x:v>
      </x:c>
      <x:c r="D28" s="10" t="str">
        <x:v>宁夏／酿酒师经历</x:v>
      </x:c>
      <x:c r="E28" s="10" t="str">
        <x:v>【人物专访】对话银色高地庄主高源收官篇！祖孙三代齐心同力，百年酒庄不是梦！</x:v>
      </x:c>
      <x:c r="F28" s="10" t="str">
        <x:v>庄主／生产者访谈</x:v>
      </x:c>
      <x:c r="G28" s="10" t="str">
        <x:v>备选</x:v>
      </x:c>
      <x:c r="H28" s="10" t="str">
        <x:v>https://www.bilibili.com/video/BV1ou4y1j7kh/</x:v>
      </x:c>
      <x:c r="I28" s="10" t="str">
        <x:v>https://space.bilibili.com/442180158/</x:v>
      </x:c>
      <x:c r="J28" s="10" t="str">
        <x:v>只考虑酿酒师原声访谈；须先看片，不加入首批。</x:v>
      </x:c>
      <x:c r="K28" s="10" t="str">
        <x:v>04:49 / 2023-11-03</x:v>
      </x:c>
      <x:c r="L28" s="13" t="str">
        <x:v>待看片</x:v>
      </x:c>
    </x:row>
    <x:row r="29" ht="69" customHeight="1">
      <x:c r="A29" s="9" t="str">
        <x:v>CN-025</x:v>
      </x:c>
      <x:c r="B29" s="9" t="str">
        <x:v>津亦说</x:v>
      </x:c>
      <x:c r="C29" s="9" t="str">
        <x:v>生产者访谈备选</x:v>
      </x:c>
      <x:c r="D29" s="9" t="str">
        <x:v>宁夏／酿酒师经历</x:v>
      </x:c>
      <x:c r="E29" s="9" t="str">
        <x:v>【人物访谈】独立酿酒师罗宇晨：「敖云酒庄影响了我的葡萄酒…」</x:v>
      </x:c>
      <x:c r="F29" s="9" t="str">
        <x:v>独立酿酒师访谈</x:v>
      </x:c>
      <x:c r="G29" s="9" t="str">
        <x:v>备选</x:v>
      </x:c>
      <x:c r="H29" s="9" t="str">
        <x:v>https://www.bilibili.com/video/BV13j411A7xC/</x:v>
      </x:c>
      <x:c r="I29" s="9" t="str">
        <x:v>https://space.bilibili.com/442180158/</x:v>
      </x:c>
      <x:c r="J29" s="9" t="str">
        <x:v>只考虑酿酒师原声访谈；须先看片，不加入首批。</x:v>
      </x:c>
      <x:c r="K29" s="9" t="str">
        <x:v>片长待核 / 2023-04-05</x:v>
      </x:c>
      <x:c r="L29" s="13" t="str">
        <x:v>待看片</x:v>
      </x:c>
    </x:row>
    <x:row r="30" ht="69" customHeight="1">
      <x:c r="A30" s="10" t="str">
        <x:v>CN-026</x:v>
      </x:c>
      <x:c r="B30" s="10" t="str">
        <x:v>汐花园餐厅</x:v>
      </x:c>
      <x:c r="C30" s="10" t="str">
        <x:v>单条访谈备选</x:v>
      </x:c>
      <x:c r="D30" s="10" t="str">
        <x:v>新疆／天塞</x:v>
      </x:c>
      <x:c r="E30" s="10" t="str">
        <x:v>冬季采访天塞酒庄首席酿酒师Lilian</x:v>
      </x:c>
      <x:c r="F30" s="10" t="str">
        <x:v>酿酒师访谈</x:v>
      </x:c>
      <x:c r="G30" s="10" t="str">
        <x:v>备选</x:v>
      </x:c>
      <x:c r="H30" s="10" t="str">
        <x:v>https://www.bilibili.com/video/BV1jJ41167kp/</x:v>
      </x:c>
      <x:c r="I30" s="10" t="str">
        <x:v>账号入口未核实；用视频页进入</x:v>
      </x:c>
      <x:c r="J30" s="10" t="str">
        <x:v>2019年采访；不推断受访者现在的职务。</x:v>
      </x:c>
      <x:c r="K30" s="10" t="str">
        <x:v>片长待核 / 2019-12-16</x:v>
      </x:c>
      <x:c r="L30" s="13" t="str">
        <x:v>待看片</x:v>
      </x:c>
    </x:row>
  </x:sheetData>
  <x:mergeCells>
    <x:mergeCell ref="A1:G1"/>
    <x:mergeCell ref="A2:G2"/>
  </x:mergeCells>
  <x:dataValidations count="1">
    <x:dataValidation type="list" sqref="L5:L30">
      <x:formula1>"待看片,待获取原片,已获取,字幕处理中,待审核,可发布,已发布,暂不采用"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83cdcfea4744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.110000610351562" hidden="0" customWidth="1"/>
    <x:col min="2" max="2" width="27.219999313354492" hidden="0" customWidth="1"/>
    <x:col min="3" max="3" width="74.44000244140625" hidden="0" customWidth="1"/>
    <x:col min="4" max="4" width="43.33000183105469" hidden="0" customWidth="1"/>
  </x:cols>
  <x:sheetData>
    <x:row r="1" ht="28.5" customHeight="1">
      <x:c r="A1" s="4" t="str">
        <x:v>Wine Channel｜选片规则与处理目录</x:v>
      </x:c>
      <x:c r="B1" s="3"/>
      <x:c r="C1" s="3"/>
      <x:c r="D1" s="3"/>
    </x:row>
    <x:row r="2" ht="36" customHeight="1">
      <x:c r="A2" s="5" t="str">
        <x:v>按本次修订执行：资料来源、栏目导航、素材目录和处理状态都在此表。</x:v>
      </x:c>
      <x:c r="B2" s="3"/>
      <x:c r="C2" s="3"/>
      <x:c r="D2" s="3"/>
    </x:row>
    <x:row r="3" ht="9" customHeight="1">
      <x:c r="A3" s="3"/>
      <x:c r="B3" s="3"/>
      <x:c r="C3" s="3"/>
      <x:c r="D3" s="3"/>
    </x:row>
    <x:row r="4" ht="24" customHeight="1">
      <x:c r="A4" s="8" t="str">
        <x:v>模块</x:v>
      </x:c>
      <x:c r="B4" s="8" t="str">
        <x:v>项目</x:v>
      </x:c>
      <x:c r="C4" s="8" t="str">
        <x:v>规则／操作</x:v>
      </x:c>
      <x:c r="D4" s="8" t="str">
        <x:v>参考入口</x:v>
      </x:c>
    </x:row>
    <x:row r="5" ht="48" customHeight="1">
      <x:c r="A5" s="9" t="str">
        <x:v>选片原则</x:v>
      </x:c>
      <x:c r="B5" s="9" t="str">
        <x:v>主要收录</x:v>
      </x:c>
      <x:c r="C5" s="9" t="str">
        <x:v>纪录片、产区与酒庄现场、庄主／酿酒师访谈、学术与技术教学。人物出镜本身不是排除理由；个人酒评与销售内容不收录。</x:v>
      </x:c>
      <x:c r="D5" s="9" t="str"/>
    </x:row>
    <x:row r="6" ht="48" customHeight="1">
      <x:c r="A6" s="10" t="str">
        <x:v>选片原则</x:v>
      </x:c>
      <x:c r="B6" s="10" t="str">
        <x:v>资料状态</x:v>
      </x:c>
      <x:c r="C6" s="10" t="str">
        <x:v>已核对账号身份及代表片/栏目线索；未完成逐片观看、字幕审核、下载、剪辑或上传。栏目链接不等于单片下载地址。</x:v>
      </x:c>
      <x:c r="D6" s="10" t="str"/>
    </x:row>
    <x:row r="7" ht="48" customHeight="1">
      <x:c r="A7" s="9" t="str">
        <x:v>选片原则</x:v>
      </x:c>
      <x:c r="B7" s="9" t="str">
        <x:v>来源与使用</x:v>
      </x:c>
      <x:c r="C7" s="9" t="str">
        <x:v>来源清单尚不是可直接重发清单。优先取得官方教育素材与原片；逐片记录使用范围、字幕／剪辑与发布条件。</x:v>
      </x:c>
      <x:c r="D7" s="9" t="str"/>
    </x:row>
    <x:row r="8" ht="48" customHeight="1">
      <x:c r="A8" s="10" t="str">
        <x:v>选片原则</x:v>
      </x:c>
      <x:c r="B8" s="10" t="str">
        <x:v>出品方与上传者</x:v>
      </x:c>
      <x:c r="C8" s="10" t="str">
        <x:v>转载账号可帮助发现片源；每片另外记录原始出品方。酒庄自制影片保留其生产者身份。</x:v>
      </x:c>
      <x:c r="D8" s="10" t="str"/>
    </x:row>
    <x:row r="9" ht="48" customHeight="1">
      <x:c r="A9" s="9" t="str">
        <x:v>B站既有来源</x:v>
      </x:c>
      <x:c r="B9" s="9" t="str">
        <x:v>Mickey米老师</x:v>
      </x:c>
      <x:c r="C9" s="9" t="str">
        <x:v>保留纪录片线索。追溯原片标题、出品方和原始来源；转载者不自动等于版权方。</x:v>
      </x:c>
      <x:c r="D9" s="9" t="str">
        <x:v>https://space.bilibili.com/26124055/</x:v>
      </x:c>
    </x:row>
    <x:row r="10" ht="48" customHeight="1">
      <x:c r="A10" s="10" t="str">
        <x:v>B站既有来源</x:v>
      </x:c>
      <x:c r="B10" s="10" t="str">
        <x:v>槟客文化／Sparkling Plus</x:v>
      </x:c>
      <x:c r="C10" s="10" t="str">
        <x:v>保留庄主与酿酒师访谈。优先香槟酒庄现场、生产者访谈与技术内容。</x:v>
      </x:c>
      <x:c r="D10" s="10" t="str">
        <x:v>https://space.bilibili.com/348903504/</x:v>
      </x:c>
    </x:row>
    <x:row r="11" ht="48" customHeight="1">
      <x:c r="A11" s="9" t="str">
        <x:v>B站既有来源</x:v>
      </x:c>
      <x:c r="B11" s="9" t="str">
        <x:v>nora的葡萄酒世界</x:v>
      </x:c>
      <x:c r="C11" s="9" t="str">
        <x:v>保留学术分享。学术讲座、资料与正式教学。</x:v>
      </x:c>
      <x:c r="D11" s="9" t="str">
        <x:v>https://space.bilibili.com/506969146/</x:v>
      </x:c>
    </x:row>
    <x:row r="12" ht="48" customHeight="1">
      <x:c r="A12" s="10" t="str">
        <x:v>B站既有来源</x:v>
      </x:c>
      <x:c r="B12" s="10" t="str">
        <x:v>朱利安的微醺视界</x:v>
      </x:c>
      <x:c r="C12" s="10" t="str">
        <x:v>按片保留。只选学习类、酒庄现场或访谈；生活片不自动收录。</x:v>
      </x:c>
      <x:c r="D12" s="10" t="str">
        <x:v>https://space.bilibili.com/501122986/</x:v>
      </x:c>
    </x:row>
    <x:row r="13" ht="48" customHeight="1">
      <x:c r="A13" s="9" t="str">
        <x:v>B站既有来源</x:v>
      </x:c>
      <x:c r="B13" s="9" t="str">
        <x:v>诗洋品酒生活</x:v>
      </x:c>
      <x:c r="C13" s="9" t="str">
        <x:v>仅保留指定 DEVO 纪录片。《瓶中的星火／揭秘中国的起泡酒奇迹》；不扩大到整个账号。</x:v>
      </x:c>
      <x:c r="D13" s="9" t="str">
        <x:v>https://space.bilibili.com/523671351/</x:v>
      </x:c>
    </x:row>
    <x:row r="14" ht="48" customHeight="1">
      <x:c r="A14" s="10" t="str">
        <x:v>B站既有来源</x:v>
      </x:c>
      <x:c r="B14" s="10" t="str">
        <x:v>Denver酒语</x:v>
      </x:c>
      <x:c r="C14" s="10" t="str">
        <x:v>保留候选。按用户意见保留；每片仍按纪录、访谈、教学标准选择。</x:v>
      </x:c>
      <x:c r="D14" s="10" t="str">
        <x:v>https://space.bilibili.com/59734409</x:v>
      </x:c>
    </x:row>
    <x:row r="15" ht="48" customHeight="1">
      <x:c r="A15" s="9" t="str">
        <x:v>B站既有来源</x:v>
      </x:c>
      <x:c r="B15" s="9" t="str">
        <x:v>Matthieu麦子</x:v>
      </x:c>
      <x:c r="C15" s="9" t="str">
        <x:v>待看片。用户尚未观看；先作候选，不标为已认可整号。</x:v>
      </x:c>
      <x:c r="D15" s="9" t="str">
        <x:v>https://space.bilibili.com/442122443/</x:v>
      </x:c>
    </x:row>
    <x:row r="16" ht="57" customHeight="1">
      <x:c r="A16" s="10" t="str">
        <x:v>B站既有来源</x:v>
      </x:c>
      <x:c r="B16" s="10" t="str">
        <x:v>移除范围</x:v>
      </x:c>
      <x:c r="C16" s="10" t="str">
        <x:v>小皮葡萄酒讲堂、酒评人林殿理、葡萄酒小漆、红酒丹尼、红酒世界、索菲亚一斤半、老陈的小酒馆、老邢不瞎喝、葡萄酒侦探社、老三的葡萄酒小课堂、酒零后根据地、富隆酒窖、醉鹅娘，以及同类个人酒评、选酒销售内容；不再作为来源扩充。</x:v>
      </x:c>
      <x:c r="D16" s="10" t="str"/>
    </x:row>
    <x:row r="17" ht="48" customHeight="1">
      <x:c r="A17" s="9" t="str">
        <x:v>前台栏目</x:v>
      </x:c>
      <x:c r="B17" s="9" t="str">
        <x:v>01 中国葡萄酒</x:v>
      </x:c>
      <x:c r="C17" s="9" t="str">
        <x:v>宁夏、山东、新疆、河北／怀来、云南及其他产区；未找到合格片的地区保留待补。</x:v>
      </x:c>
      <x:c r="D17" s="9" t="str"/>
    </x:row>
    <x:row r="18" ht="48" customHeight="1">
      <x:c r="A18" s="10" t="str">
        <x:v>前台栏目</x:v>
      </x:c>
      <x:c r="B18" s="10" t="str">
        <x:v>02 世界产区</x:v>
      </x:c>
      <x:c r="C18" s="10" t="str">
        <x:v>国家 → 产区；纪录片、地理气候、葡萄园现场。</x:v>
      </x:c>
      <x:c r="D18" s="10" t="str"/>
    </x:row>
    <x:row r="19" ht="48" customHeight="1">
      <x:c r="A19" s="9" t="str">
        <x:v>前台栏目</x:v>
      </x:c>
      <x:c r="B19" s="9" t="str">
        <x:v>03 葡萄种植</x:v>
      </x:c>
      <x:c r="C19" s="9" t="str">
        <x:v>土壤、气候、修剪、整枝、病害、防霜冻、采收。</x:v>
      </x:c>
      <x:c r="D19" s="9" t="str"/>
    </x:row>
    <x:row r="20" ht="48" customHeight="1">
      <x:c r="A20" s="10" t="str">
        <x:v>前台栏目</x:v>
      </x:c>
      <x:c r="B20" s="10" t="str">
        <x:v>04 酿造与陈年</x:v>
      </x:c>
      <x:c r="C20" s="10" t="str">
        <x:v>压榨、发酵、微生物、容器、陈年、起泡与加强酒工艺。</x:v>
      </x:c>
      <x:c r="D20" s="10" t="str"/>
    </x:row>
    <x:row r="21" ht="48" customHeight="1">
      <x:c r="A21" s="9" t="str">
        <x:v>前台栏目</x:v>
      </x:c>
      <x:c r="B21" s="9" t="str">
        <x:v>05 庄主与酿酒师</x:v>
      </x:c>
      <x:c r="C21" s="9" t="str">
        <x:v>生产者访谈与口述史，保留采访日期和受访者身份。</x:v>
      </x:c>
      <x:c r="D21" s="9" t="str"/>
    </x:row>
    <x:row r="22" ht="48" customHeight="1">
      <x:c r="A22" s="10" t="str">
        <x:v>前台栏目</x:v>
      </x:c>
      <x:c r="B22" s="10" t="str">
        <x:v>06 学术与课程</x:v>
      </x:c>
      <x:c r="C22" s="10" t="str">
        <x:v>大学、科研机构、专业教育机构的完整教学。</x:v>
      </x:c>
      <x:c r="D22" s="10" t="str"/>
    </x:row>
    <x:row r="23" ht="48" customHeight="1">
      <x:c r="A23" s="9" t="str">
        <x:v>前台栏目</x:v>
      </x:c>
      <x:c r="B23" s="9" t="str">
        <x:v>07 侍酒操作</x:v>
      </x:c>
      <x:c r="C23" s="9" t="str">
        <x:v>醒酒、开瓶、起泡酒服务及可重复练习的实操。</x:v>
      </x:c>
      <x:c r="D23" s="9" t="str"/>
    </x:row>
    <x:row r="24" ht="48" customHeight="1">
      <x:c r="A24" s="10" t="str">
        <x:v>前台栏目</x:v>
      </x:c>
      <x:c r="B24" s="10" t="str">
        <x:v>多标签与去重</x:v>
      </x:c>
      <x:c r="C24" s="10" t="str">
        <x:v>一片一个素材ID，设置一个主栏目；国家、产区、葡萄、工艺、人物可设多个标签，不重复保存多份母版。</x:v>
      </x:c>
      <x:c r="D24" s="10" t="str"/>
    </x:row>
    <x:row r="25" ht="48" customHeight="1">
      <x:c r="A25" s="9" t="str">
        <x:v>素材文件夹</x:v>
      </x:c>
      <x:c r="B25" s="9" t="str">
        <x:v>WineChannel/素材ID/01_original</x:v>
      </x:c>
      <x:c r="C25" s="9" t="str">
        <x:v>原始视频、原始音轨；保留取得的画质与编码，原件不覆盖。</x:v>
      </x:c>
      <x:c r="D25" s="9" t="str"/>
    </x:row>
    <x:row r="26" ht="48" customHeight="1">
      <x:c r="A26" s="10" t="str">
        <x:v>素材文件夹</x:v>
      </x:c>
      <x:c r="B26" s="10" t="str">
        <x:v>WineChannel/素材ID/02_subtitles</x:v>
      </x:c>
      <x:c r="C26" s="10" t="str">
        <x:v>原文字幕、中文工作稿、校对后的中文字幕分别存放。</x:v>
      </x:c>
      <x:c r="D26" s="10" t="str"/>
    </x:row>
    <x:row r="27" ht="48" customHeight="1">
      <x:c r="A27" s="9" t="str">
        <x:v>素材文件夹</x:v>
      </x:c>
      <x:c r="B27" s="9" t="str">
        <x:v>WineChannel/素材ID/03_edit</x:v>
      </x:c>
      <x:c r="C27" s="9" t="str">
        <x:v>剪辑项目、代理文件、章节与修改记录。</x:v>
      </x:c>
      <x:c r="D27" s="9" t="str"/>
    </x:row>
    <x:row r="28" ht="48" customHeight="1">
      <x:c r="A28" s="10" t="str">
        <x:v>素材文件夹</x:v>
      </x:c>
      <x:c r="B28" s="10" t="str">
        <x:v>WineChannel/素材ID/04_export</x:v>
      </x:c>
      <x:c r="C28" s="10" t="str">
        <x:v>审核后的成片、封面、字幕与发布文案。</x:v>
      </x:c>
      <x:c r="D28" s="10" t="str"/>
    </x:row>
    <x:row r="29" ht="48" customHeight="1">
      <x:c r="A29" s="9" t="str">
        <x:v>素材文件夹</x:v>
      </x:c>
      <x:c r="B29" s="9" t="str">
        <x:v>WineChannel/素材ID/05_source</x:v>
      </x:c>
      <x:c r="C29" s="9" t="str">
        <x:v>原始链接、info.json、出品方、上传者、使用条款或授权记录。</x:v>
      </x:c>
      <x:c r="D29" s="9" t="str"/>
    </x:row>
    <x:row r="30" ht="48" customHeight="1">
      <x:c r="A30" s="10" t="str">
        <x:v>素材文件夹</x:v>
      </x:c>
      <x:c r="B30" s="10" t="str">
        <x:v>文件命名</x:v>
      </x:c>
      <x:c r="C30" s="10" t="str">
        <x:v>素材ID_国家-产区_主题_语言_版本.ext；例如 WC-0001_CN-Ningxia_Frost_zh_v01.mp4。素材ID固定，后续修订只更新版本。</x:v>
      </x:c>
      <x:c r="D30" s="10" t="str"/>
    </x:row>
    <x:row r="31" ht="48" customHeight="1">
      <x:c r="A31" s="9" t="str">
        <x:v>处理顺序</x:v>
      </x:c>
      <x:c r="B31" s="9" t="str">
        <x:v>1 选具体片</x:v>
      </x:c>
      <x:c r="C31" s="9" t="str">
        <x:v>用账号与栏目发现视频。先看题材、原始出品方、片长和是否含实质教学；不整号导入。</x:v>
      </x:c>
      <x:c r="D31" s="9" t="str"/>
    </x:row>
    <x:row r="32" ht="48" customHeight="1">
      <x:c r="A32" s="10" t="str">
        <x:v>处理顺序</x:v>
      </x:c>
      <x:c r="B32" s="10" t="str">
        <x:v>2 获取原片</x:v>
      </x:c>
      <x:c r="C32" s="10" t="str">
        <x:v>优先官方可下载文件或出品方原片；适用时用 yt-dlp 获取已明确可用的视频、字幕和元数据。</x:v>
      </x:c>
      <x:c r="D32" s="10" t="str"/>
    </x:row>
    <x:row r="33" ht="48" customHeight="1">
      <x:c r="A33" s="9" t="str">
        <x:v>处理顺序</x:v>
      </x:c>
      <x:c r="B33" s="9" t="str">
        <x:v>3 保留字幕与身份</x:v>
      </x:c>
      <x:c r="C33" s="9" t="str">
        <x:v>原文字幕单独保存；机器字幕只作初稿。重点校对酒庄、品种、产区、人名、工艺与数字。</x:v>
      </x:c>
      <x:c r="D33" s="9" t="str"/>
    </x:row>
    <x:row r="34" ht="48" customHeight="1">
      <x:c r="A34" s="10" t="str">
        <x:v>处理顺序</x:v>
      </x:c>
      <x:c r="B34" s="10" t="str">
        <x:v>4 编辑与导出</x:v>
      </x:c>
      <x:c r="C34" s="10" t="str">
        <x:v>FFmpeg 用于合并、转码、字幕与导出；剪辑保留必要上下文和原始出品信息。</x:v>
      </x:c>
      <x:c r="D34" s="10" t="str"/>
    </x:row>
    <x:row r="35" ht="48" customHeight="1">
      <x:c r="A35" s="9" t="str">
        <x:v>处理顺序</x:v>
      </x:c>
      <x:c r="B35" s="9" t="str">
        <x:v>5 编目与发布</x:v>
      </x:c>
      <x:c r="C35" s="9" t="str">
        <x:v>一片一个素材ID，设置主栏目和多个标签；成片审核后登记国内播放链接，保留原始出处。</x:v>
      </x:c>
      <x:c r="D35" s="9" t="str"/>
    </x:row>
    <x:row r="36" ht="48" customHeight="1">
      <x:c r="A36" s="10" t="str">
        <x:v>获取工具／资源</x:v>
      </x:c>
      <x:c r="B36" s="10" t="str">
        <x:v>yt-dlp</x:v>
      </x:c>
      <x:c r="C36" s="10" t="str">
        <x:v>支持下载清单、字幕、info.json 与下载记录去重；当前官方文档要求完整 YouTube 支持配合 yt-dlp-ejs 和 JavaScript 运行时，推荐 Deno。尚未安装或测试实际下载。</x:v>
      </x:c>
      <x:c r="D36" s="10" t="str">
        <x:v>https://github.com/yt-dlp/yt-dlp</x:v>
      </x:c>
    </x:row>
    <x:row r="37" ht="48" customHeight="1">
      <x:c r="A37" s="9" t="str">
        <x:v>获取工具／资源</x:v>
      </x:c>
      <x:c r="B37" s="9" t="str">
        <x:v>FFmpeg / ffprobe</x:v>
      </x:c>
      <x:c r="C37" s="9" t="str">
        <x:v>用于音视频合并、格式转换、字幕及媒体信息检查；当前环境存在工具，但本轮没有处理实际影片。</x:v>
      </x:c>
      <x:c r="D37" s="9" t="str">
        <x:v>https://ffmpeg.org/ffmpeg.html</x:v>
      </x:c>
    </x:row>
    <x:row r="38" ht="48" customHeight="1">
      <x:c r="A38" s="10" t="str">
        <x:v>获取工具／资源</x:v>
      </x:c>
      <x:c r="B38" s="10" t="str">
        <x:v>Australian Wine Discovered</x:v>
      </x:c>
      <x:c r="C38" s="10" t="str">
        <x:v>官网明确提供可下载使用的教育视频，并有简体中文学习资料；该说明针对 AWD 素材，不等于频道所有视频。</x:v>
      </x:c>
      <x:c r="D38" s="10" t="str">
        <x:v>https://www.australianwine.com/australian-wine-discovered</x:v>
      </x:c>
    </x:row>
    <x:row r="39" ht="48" customHeight="1">
      <x:c r="A39" s="9" t="str">
        <x:v>获取工具／资源</x:v>
      </x:c>
      <x:c r="B39" s="9" t="str">
        <x:v>New Zealand Wine 地区影片</x:v>
      </x:c>
      <x:c r="C39" s="9" t="str">
        <x:v>官网列出教育、展会、会议、社媒和网站等用途，排除付费广告和零售空间；下载版通过出品方获取，剪辑／翻译的具体许可仍待核。</x:v>
      </x:c>
      <x:c r="D39" s="9" t="str">
        <x:v>https://www.nzwine.com/en/trade/learning/regional-videos/</x:v>
      </x:c>
    </x:row>
    <x:row r="40" ht="48" customHeight="1">
      <x:c r="A40" s="10" t="str">
        <x:v>获取工具／资源</x:v>
      </x:c>
      <x:c r="B40" s="10" t="str">
        <x:v>YouTube可达性</x:v>
      </x:c>
      <x:c r="C40" s="10" t="str">
        <x:v>获取环节仍需要能够正常访问来源的网络或官方文件交付；下载软件本身不解决网络可达性。国内观看入口在后续发布时登记。</x:v>
      </x:c>
      <x:c r="D40" s="10" t="str"/>
    </x:row>
    <x:row r="41" ht="48" customHeight="1">
      <x:c r="A41" s="9" t="str">
        <x:v>获取工具／资源</x:v>
      </x:c>
      <x:c r="B41" s="9" t="str">
        <x:v>完整归档包</x:v>
      </x:c>
      <x:c r="C41" s="9" t="str">
        <x:v>视频母版、原文字幕、中文字幕、原始标题与链接、info.json、封面、章节、使用条款及修改记录。</x:v>
      </x:c>
      <x:c r="D41" s="9" t="str"/>
    </x:row>
    <x:row r="42" ht="48" customHeight="1">
      <x:c r="A42" s="10" t="str">
        <x:v>编目字段</x:v>
      </x:c>
      <x:c r="B42" s="10" t="str">
        <x:v>每片必填</x:v>
      </x:c>
      <x:c r="C42" s="10" t="str">
        <x:v>素材ID、中文标题、原片标题、出品方、上传者、来源URL、主栏目、国家／产区、类型、原语言、字幕状态、片长、日期、使用范围、处理状态、国内播放链接。</x:v>
      </x:c>
      <x:c r="D42" s="10" t="str"/>
    </x:row>
    <x:row r="43" ht="48" customHeight="1">
      <x:c r="A43" s="9" t="str">
        <x:v>编目字段</x:v>
      </x:c>
      <x:c r="B43" s="9" t="str">
        <x:v>状态顺序</x:v>
      </x:c>
      <x:c r="C43" s="9" t="str">
        <x:v>待选片 → 待获取原片 → 已获取 → 字幕处理中 → 待审核 → 可发布 → 已发布。来源核实不等于影片审核通过。</x:v>
      </x:c>
      <x:c r="D43" s="9" t="str"/>
    </x:row>
    <x:row r="44" ht="48" customHeight="1">
      <x:c r="A44" s="10" t="str">
        <x:v>国内补充</x:v>
      </x:c>
      <x:c r="B44" s="10" t="str">
        <x:v>《觉醒的葡萄》</x:v>
      </x:c>
      <x:c r="C44" s="10" t="str">
        <x:v>爱奇艺片源线索，涉及香格里拉、宁夏、山东、新疆；不是已核实B站账号，播放与付费条件待核。</x:v>
      </x:c>
      <x:c r="D44" s="10" t="str">
        <x:v>https://www.iqiyi.com/a_hjnjf8bn5x.html</x:v>
      </x:c>
    </x:row>
    <x:row r="45" ht="48" customHeight="1">
      <x:c r="A45" s="9" t="str">
        <x:v>国内补充</x:v>
      </x:c>
      <x:c r="B45" s="9" t="str">
        <x:v>云南缺口</x:v>
      </x:c>
      <x:c r="C45" s="9" t="str">
        <x:v>本轮尚未核实到适合持续跟踪的B站云南葡萄酒纪录账号。罗宇晨访谈不等于云南现场纪录片。</x:v>
      </x:c>
      <x:c r="D45" s="9" t="str"/>
    </x:row>
    <x:row r="46" ht="48" customHeight="1">
      <x:c r="A46" s="10" t="str">
        <x:v>格式备忘</x:v>
      </x:c>
      <x:c r="B46" s="10" t="str">
        <x:v>Cheval Blanc / Masi</x:v>
      </x:c>
      <x:c r="C46" s="10" t="str">
        <x:v>《Un Autre Cheval》与本轮Masi样片为播客，已从50个视频来源主表中替换。可另作音频参考，不能标成葡萄园纪录片。</x:v>
      </x:c>
      <x:c r="D46" s="10" t="str">
        <x:v>https://www.chateau-cheval-blanc.com/le-podcast-un-autre-cheval/</x:v>
      </x:c>
    </x:row>
    <x:row r="47" ht="48" customHeight="1">
      <x:c r="A47" s="9" t="str">
        <x:v>首批选片起点</x:v>
      </x:c>
      <x:c r="B47" s="9" t="str">
        <x:v>01 贺兰山下</x:v>
      </x:c>
      <x:c r="C47" s="9" t="str">
        <x:v>先从宁夏产区纪录片建立中国葡萄酒栏目；播放条件待核。 状态：待看片与确认原片获取方式。</x:v>
      </x:c>
      <x:c r="D47" s="9" t="str">
        <x:v>https://www.bilibili.com/bangumi/play/ss45079</x:v>
      </x:c>
    </x:row>
    <x:row r="48" ht="48" customHeight="1">
      <x:c r="A48" s="10" t="str">
        <x:v>首批选片起点</x:v>
      </x:c>
      <x:c r="B48" s="10" t="str">
        <x:v>02 DEVO／瓶中的星火</x:v>
      </x:c>
      <x:c r="C48" s="10" t="str">
        <x:v>用户已指定保留的中国起泡酒纪录片。 状态：待看片与确认原片获取方式。</x:v>
      </x:c>
      <x:c r="D48" s="10" t="str">
        <x:v>https://www.bilibili.com/video/BV1tRRvYsEen/</x:v>
      </x:c>
    </x:row>
    <x:row r="49" ht="48" customHeight="1">
      <x:c r="A49" s="9" t="str">
        <x:v>首批选片起点</x:v>
      </x:c>
      <x:c r="B49" s="9" t="str">
        <x:v>03 UCW／黄河谣1</x:v>
      </x:c>
      <x:c r="C49" s="9" t="str">
        <x:v>宁夏产区纪录系列的选片起点。 状态：待看片与确认原片获取方式。</x:v>
      </x:c>
      <x:c r="D49" s="9" t="str">
        <x:v>https://www.bilibili.com/video/BV1Q54y1H7U6/</x:v>
      </x:c>
    </x:row>
    <x:row r="50" ht="48" customHeight="1">
      <x:c r="A50" s="10" t="str">
        <x:v>首批选片起点</x:v>
      </x:c>
      <x:c r="B50" s="10" t="str">
        <x:v>04 银色高地／防霜冻</x:v>
      </x:c>
      <x:c r="C50" s="10" t="str">
        <x:v>中国葡萄园管理的实地素材。 状态：待看片与确认原片获取方式。</x:v>
      </x:c>
      <x:c r="D50" s="10" t="str">
        <x:v>https://www.bilibili.com/video/BV1zg4y1z7JH/</x:v>
      </x:c>
    </x:row>
    <x:row r="51" ht="48" customHeight="1">
      <x:c r="A51" s="9" t="str">
        <x:v>首批选片起点</x:v>
      </x:c>
      <x:c r="B51" s="9" t="str">
        <x:v>05 西鸽／赤霞珠酒窖</x:v>
      </x:c>
      <x:c r="C51" s="9" t="str">
        <x:v>由酿酒师带看生产现场。 状态：待看片与确认原片获取方式。</x:v>
      </x:c>
      <x:c r="D51" s="9" t="str">
        <x:v>https://www.bilibili.com/video/BV1XF411V7wL/</x:v>
      </x:c>
    </x:row>
    <x:row r="52" ht="48" customHeight="1">
      <x:c r="A52" s="10" t="str">
        <x:v>首批选片起点</x:v>
      </x:c>
      <x:c r="B52" s="10" t="str">
        <x:v>06 本土葡萄酒乳酸菌</x:v>
      </x:c>
      <x:c r="C52" s="10" t="str">
        <x:v>技术与学术栏目起点；需看片确认教学深度。 状态：待看片与确认原片获取方式。</x:v>
      </x:c>
      <x:c r="D52" s="10" t="str">
        <x:v>https://www.bilibili.com/video/BV1fp421o7bb/</x:v>
      </x:c>
    </x:row>
    <x:row r="53" ht="48" customHeight="1">
      <x:c r="A53" s="9" t="str">
        <x:v>首批选片起点</x:v>
      </x:c>
      <x:c r="B53" s="9" t="str">
        <x:v>07 New Zealand／Central Otago</x:v>
      </x:c>
      <x:c r="C53" s="9" t="str">
        <x:v>气候、地理和土壤的产区教学影片。 状态：待看片与确认原片获取方式。</x:v>
      </x:c>
      <x:c r="D53" s="9" t="str">
        <x:v>https://www.youtube.com/watch?v=dt6BkhgyQ_Q</x:v>
      </x:c>
    </x:row>
    <x:row r="54" ht="48" customHeight="1">
      <x:c r="A54" s="10" t="str">
        <x:v>首批选片起点</x:v>
      </x:c>
      <x:c r="B54" s="10" t="str">
        <x:v>08 Oregon Wine／全片</x:v>
      </x:c>
      <x:c r="C54" s="10" t="str">
        <x:v>有官方原始入口的产区影片。 状态：待看片与确认原片获取方式。</x:v>
      </x:c>
      <x:c r="D54" s="10" t="str">
        <x:v>https://www.youtube.com/watch?v=D98-AZFHWac</x:v>
      </x:c>
    </x:row>
    <x:row r="55" ht="48" customHeight="1">
      <x:c r="A55" s="9" t="str">
        <x:v>首批选片起点</x:v>
      </x:c>
      <x:c r="B55" s="9" t="str">
        <x:v>09 Napa Valley Rocks</x:v>
      </x:c>
      <x:c r="C55" s="9" t="str">
        <x:v>土壤与地质教学。 状态：待看片与确认原片获取方式。</x:v>
      </x:c>
      <x:c r="D55" s="9" t="str">
        <x:v>https://www.youtube.com/watch?v=_lHTr1xCGtE</x:v>
      </x:c>
    </x:row>
    <x:row r="56" ht="48" customHeight="1">
      <x:c r="A56" s="10" t="str">
        <x:v>首批选片起点</x:v>
      </x:c>
      <x:c r="B56" s="10" t="str">
        <x:v>10 Austrian Wine／种植者一年</x:v>
      </x:c>
      <x:c r="C56" s="10" t="str">
        <x:v>生长季、修剪、采收与酒窖流程。 状态：待看片与确认原片获取方式。</x:v>
      </x:c>
      <x:c r="D56" s="10" t="str">
        <x:v>https://www.youtube.com/watch?v=vG7SxbhgD-A</x:v>
      </x:c>
    </x:row>
    <x:row r="57" ht="48" customHeight="1">
      <x:c r="A57" s="9" t="str">
        <x:v>首批选片起点</x:v>
      </x:c>
      <x:c r="B57" s="9" t="str">
        <x:v>11 Bettane／Telmont系列</x:v>
      </x:c>
      <x:c r="C57" s="9" t="str">
        <x:v>只选指定纪录片系列，不导入评论节目。 状态：待看片与确认原片获取方式。</x:v>
      </x:c>
      <x:c r="D57" s="9" t="str">
        <x:v>https://www.youtube.com/playlist?list=PLVy9U87SEcbAgezocxa_bAj7TsDyWHc_3</x:v>
      </x:c>
    </x:row>
    <x:row r="58" ht="48" customHeight="1">
      <x:c r="A58" s="10" t="str">
        <x:v>首批选片起点</x:v>
      </x:c>
      <x:c r="B58" s="10" t="str">
        <x:v>12 Ridge／酿造与葡萄园系列</x:v>
      </x:c>
      <x:c r="C58" s="10" t="str">
        <x:v>从酒庄官网直接进入现场与生产影片。 状态：待看片与确认原片获取方式。</x:v>
      </x:c>
      <x:c r="D58" s="10" t="str">
        <x:v>https://www.ridgewine.com/about/news/ridge-winemaking-video-series/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9b47cf0dcea494f"/>
  </x:tableParts>
</x:worksheet>
</file>